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erre-Yves\Documents\EPA SWMM Projects\Twann_2026\"/>
    </mc:Choice>
  </mc:AlternateContent>
  <xr:revisionPtr revIDLastSave="0" documentId="13_ncr:1_{644B116D-E359-4B58-8913-DA4798A7EECC}" xr6:coauthVersionLast="36" xr6:coauthVersionMax="36" xr10:uidLastSave="{00000000-0000-0000-0000-000000000000}"/>
  <bookViews>
    <workbookView xWindow="0" yWindow="0" windowWidth="20385" windowHeight="5865" xr2:uid="{5560F17C-8740-4256-B354-A6A3ABF31B82}"/>
  </bookViews>
  <sheets>
    <sheet name="Aperçu_phases" sheetId="1" r:id="rId1"/>
    <sheet name="Def_classes_probabilité" sheetId="2" r:id="rId2"/>
    <sheet name="Liste_simulation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1" i="1" l="1"/>
  <c r="N40" i="1"/>
  <c r="N37" i="1"/>
  <c r="N36" i="1"/>
  <c r="N35" i="1"/>
  <c r="N32" i="1"/>
  <c r="N31" i="1"/>
  <c r="N30" i="1"/>
  <c r="N27" i="1"/>
  <c r="O27" i="1" s="1"/>
  <c r="N26" i="1"/>
  <c r="N25" i="1"/>
  <c r="N24" i="1"/>
  <c r="O24" i="1" s="1"/>
  <c r="N22" i="1"/>
  <c r="X17" i="1"/>
  <c r="X18" i="1"/>
  <c r="N19" i="1"/>
  <c r="N18" i="1"/>
  <c r="N17" i="1"/>
  <c r="N16" i="1"/>
  <c r="N6" i="1"/>
  <c r="N5" i="1"/>
  <c r="N4" i="1"/>
  <c r="N11" i="1"/>
  <c r="N12" i="1"/>
  <c r="N10" i="1"/>
  <c r="N15" i="1"/>
  <c r="N3" i="1"/>
  <c r="F85" i="1"/>
  <c r="O76" i="1"/>
  <c r="O75" i="1"/>
  <c r="O72" i="1"/>
  <c r="O71" i="1"/>
  <c r="O70" i="1"/>
  <c r="O63" i="1"/>
  <c r="O60" i="1"/>
  <c r="O59" i="1"/>
  <c r="O56" i="1"/>
  <c r="O55" i="1"/>
  <c r="O52" i="1"/>
  <c r="O51" i="1"/>
  <c r="O26" i="1"/>
  <c r="O25" i="1"/>
  <c r="O23" i="1"/>
  <c r="G10" i="2"/>
  <c r="D13" i="2"/>
  <c r="F13" i="2" s="1"/>
  <c r="D12" i="2"/>
  <c r="F12" i="2" s="1"/>
  <c r="D11" i="2"/>
  <c r="F11" i="2" s="1"/>
  <c r="D10" i="2"/>
  <c r="F10" i="2" s="1"/>
  <c r="D9" i="2"/>
  <c r="F9" i="2" s="1"/>
  <c r="L76" i="1"/>
  <c r="N76" i="1" s="1"/>
  <c r="L75" i="1"/>
  <c r="N75" i="1" s="1"/>
  <c r="L72" i="1"/>
  <c r="N72" i="1" s="1"/>
  <c r="L71" i="1"/>
  <c r="N71" i="1" s="1"/>
  <c r="L70" i="1"/>
  <c r="N70" i="1" s="1"/>
  <c r="L69" i="1"/>
  <c r="N69" i="1" s="1"/>
  <c r="O69" i="1" s="1"/>
  <c r="L68" i="1"/>
  <c r="N68" i="1" s="1"/>
  <c r="O68" i="1" s="1"/>
  <c r="L64" i="1"/>
  <c r="N64" i="1" s="1"/>
  <c r="O64" i="1" s="1"/>
  <c r="L63" i="1"/>
  <c r="N63" i="1" s="1"/>
  <c r="L62" i="1"/>
  <c r="N62" i="1" s="1"/>
  <c r="O62" i="1" s="1"/>
  <c r="L61" i="1"/>
  <c r="N61" i="1" s="1"/>
  <c r="O61" i="1" s="1"/>
  <c r="L60" i="1"/>
  <c r="N60" i="1" s="1"/>
  <c r="L59" i="1"/>
  <c r="N59" i="1" s="1"/>
  <c r="L56" i="1"/>
  <c r="N56" i="1" s="1"/>
  <c r="L55" i="1"/>
  <c r="N55" i="1" s="1"/>
  <c r="L52" i="1"/>
  <c r="N52" i="1" s="1"/>
  <c r="L51" i="1"/>
  <c r="N51" i="1" s="1"/>
  <c r="L48" i="1"/>
  <c r="N48" i="1"/>
  <c r="O48" i="1" s="1"/>
  <c r="L45" i="1"/>
  <c r="N45" i="1" s="1"/>
  <c r="O45" i="1" s="1"/>
  <c r="L44" i="1"/>
  <c r="N44" i="1" s="1"/>
  <c r="O44" i="1" s="1"/>
  <c r="L41" i="1"/>
  <c r="O41" i="1" s="1"/>
  <c r="L40" i="1"/>
  <c r="O40" i="1" s="1"/>
  <c r="L37" i="1"/>
  <c r="O37" i="1" s="1"/>
  <c r="L36" i="1"/>
  <c r="O36" i="1" s="1"/>
  <c r="L35" i="1"/>
  <c r="L31" i="1"/>
  <c r="O31" i="1"/>
  <c r="L32" i="1"/>
  <c r="O32" i="1" s="1"/>
  <c r="L30" i="1"/>
  <c r="L23" i="1"/>
  <c r="L24" i="1"/>
  <c r="L25" i="1"/>
  <c r="L26" i="1"/>
  <c r="L27" i="1"/>
  <c r="L22" i="1"/>
  <c r="N23" i="1"/>
  <c r="L19" i="1"/>
  <c r="L18" i="1"/>
  <c r="L17" i="1"/>
  <c r="L16" i="1"/>
  <c r="O19" i="1"/>
  <c r="O18" i="1"/>
  <c r="O17" i="1"/>
  <c r="O16" i="1"/>
  <c r="O35" i="1" l="1"/>
  <c r="O30" i="1"/>
  <c r="O22" i="1"/>
  <c r="L12" i="1" l="1"/>
  <c r="O12" i="1" s="1"/>
  <c r="L11" i="1"/>
  <c r="O11" i="1" s="1"/>
  <c r="L10" i="1"/>
  <c r="L5" i="1"/>
  <c r="O5" i="1" s="1"/>
  <c r="L6" i="1"/>
  <c r="O6" i="1" s="1"/>
  <c r="L4" i="1"/>
  <c r="O4" i="1" s="1"/>
  <c r="G11" i="2"/>
  <c r="G12" i="2" s="1"/>
  <c r="G13" i="2" s="1"/>
  <c r="O10" i="1" l="1"/>
  <c r="N9" i="1"/>
</calcChain>
</file>

<file path=xl/sharedStrings.xml><?xml version="1.0" encoding="utf-8"?>
<sst xmlns="http://schemas.openxmlformats.org/spreadsheetml/2006/main" count="537" uniqueCount="133">
  <si>
    <t>Sondierstollen</t>
  </si>
  <si>
    <t>TWT_Branche_Est_Sonsto_60+540</t>
  </si>
  <si>
    <t>TWT_Fensterstollen_60+375</t>
  </si>
  <si>
    <t>TWT_PointHaut_60+650</t>
  </si>
  <si>
    <t>Nodes Tunnel</t>
  </si>
  <si>
    <t>Connected node</t>
  </si>
  <si>
    <t>Length</t>
  </si>
  <si>
    <t>Diameter</t>
  </si>
  <si>
    <t>Probability</t>
  </si>
  <si>
    <t>Syst_Est_amont</t>
  </si>
  <si>
    <t>Syst_Est_interm</t>
  </si>
  <si>
    <t>Commentaire</t>
  </si>
  <si>
    <t>La probabilité de cette connexion est faible du point haut, elle diminue vers l'est.</t>
  </si>
  <si>
    <t>Calotte_Phase 2a</t>
  </si>
  <si>
    <t>Calotte_Phase 2b</t>
  </si>
  <si>
    <t>Stross_Phase_3a</t>
  </si>
  <si>
    <t>Stross_Phase_3b</t>
  </si>
  <si>
    <t>TWT_Fensterstollen_aval_60+370</t>
  </si>
  <si>
    <t>TWT_Intersection_Sonsto_60+345</t>
  </si>
  <si>
    <t>Calotte_Phase 4a</t>
  </si>
  <si>
    <t>Calotte_Phase 4b</t>
  </si>
  <si>
    <t>TWT_Acces_LT_60+110</t>
  </si>
  <si>
    <t>Calotte_Phase 5</t>
  </si>
  <si>
    <t>TWT_Liaison_LT_59+738</t>
  </si>
  <si>
    <t xml:space="preserve"> </t>
  </si>
  <si>
    <t>output</t>
  </si>
  <si>
    <t>Stross_Phase 6a</t>
  </si>
  <si>
    <t>Stross_Phase 6b</t>
  </si>
  <si>
    <t>De</t>
  </si>
  <si>
    <t>à</t>
  </si>
  <si>
    <t>Stross_Phase 7a</t>
  </si>
  <si>
    <t>Stross_Phase 7b</t>
  </si>
  <si>
    <t>Stross_Phase 8</t>
  </si>
  <si>
    <t>Calotte_Phase 1a</t>
  </si>
  <si>
    <t>Calotte_Phase 1b</t>
  </si>
  <si>
    <t>TWT_Chrosweg_61+140</t>
  </si>
  <si>
    <t>In/out</t>
  </si>
  <si>
    <t>Input</t>
  </si>
  <si>
    <t>Output</t>
  </si>
  <si>
    <t>TWT_Portail_Est_61+665</t>
  </si>
  <si>
    <t>SS3</t>
  </si>
  <si>
    <t>Attention ici, tous les input pourraient être actifs en même temps.</t>
  </si>
  <si>
    <t>input</t>
  </si>
  <si>
    <t>cumul possible SS3 - 40</t>
  </si>
  <si>
    <t>cumul possible 13 - 40</t>
  </si>
  <si>
    <t>cumul possible 40 -SS3 - 13</t>
  </si>
  <si>
    <t>SS4</t>
  </si>
  <si>
    <t>SS6</t>
  </si>
  <si>
    <t>SonSto_F_sup</t>
  </si>
  <si>
    <t>moy</t>
  </si>
  <si>
    <t>très élevée</t>
  </si>
  <si>
    <t>faible</t>
  </si>
  <si>
    <t>Très faible</t>
  </si>
  <si>
    <t>élevée</t>
  </si>
  <si>
    <t>moyenne</t>
  </si>
  <si>
    <t>Output = outfall "TWT_Portail_Est_61+665"</t>
  </si>
  <si>
    <t>Output = junction "TWT_Chrosweg_61+140"</t>
  </si>
  <si>
    <t>Outupt = junction "TWT_PointHaut_60+650"</t>
  </si>
  <si>
    <t>Output = junction "Sondierstollen"</t>
  </si>
  <si>
    <t>Faible</t>
  </si>
  <si>
    <t>très faible</t>
  </si>
  <si>
    <t>SonSto_porte</t>
  </si>
  <si>
    <t>Output = junction "SonSto_porte"</t>
  </si>
  <si>
    <t>Output = junction "2"</t>
  </si>
  <si>
    <t>Output = junction "30" (Fensterstollen abaissé)</t>
  </si>
  <si>
    <t>Phase</t>
  </si>
  <si>
    <t>Prob /m</t>
  </si>
  <si>
    <t>1/prob</t>
  </si>
  <si>
    <t>L_tronçon</t>
  </si>
  <si>
    <t>Prob/tronçon</t>
  </si>
  <si>
    <t>Classes de probabilités</t>
  </si>
  <si>
    <t>Classe</t>
  </si>
  <si>
    <t>Longueur</t>
  </si>
  <si>
    <t>Le principe est d'estimer la longueur de tunnel qu'il faudrait percer pour avoir une probabilité de 1 de recouper un conduit. Cette longueur est alors 1/prob de recouper un conduit sur un mètre de tunnel.</t>
  </si>
  <si>
    <t>On admet un facteur 4 de différence de probabilité pour passer d'une classe à l'autre.</t>
  </si>
  <si>
    <t>Indic. danger: Qmax*prob</t>
  </si>
  <si>
    <t>Vers</t>
  </si>
  <si>
    <t>Portail Est</t>
  </si>
  <si>
    <t>Fensterstollen</t>
  </si>
  <si>
    <t>Entwässerungstollen</t>
  </si>
  <si>
    <t>Phase 1a</t>
  </si>
  <si>
    <t>No</t>
  </si>
  <si>
    <t>1a.1</t>
  </si>
  <si>
    <t>1a.2</t>
  </si>
  <si>
    <t>1a.3</t>
  </si>
  <si>
    <t>1b.1</t>
  </si>
  <si>
    <t>1b.3</t>
  </si>
  <si>
    <t>1b.2</t>
  </si>
  <si>
    <t>2a.1</t>
  </si>
  <si>
    <t>2a.2</t>
  </si>
  <si>
    <t>2a.3</t>
  </si>
  <si>
    <t>2a.4</t>
  </si>
  <si>
    <t>2b.1</t>
  </si>
  <si>
    <t>2b.2</t>
  </si>
  <si>
    <t>2b.3</t>
  </si>
  <si>
    <t>2b.4</t>
  </si>
  <si>
    <t>2b.5</t>
  </si>
  <si>
    <t>2b.6</t>
  </si>
  <si>
    <t>3a.1</t>
  </si>
  <si>
    <t>3a.2</t>
  </si>
  <si>
    <t>3a.3</t>
  </si>
  <si>
    <t>3b.1</t>
  </si>
  <si>
    <t>3b.2</t>
  </si>
  <si>
    <t>3b.3</t>
  </si>
  <si>
    <t>4a.1</t>
  </si>
  <si>
    <t>4a.2</t>
  </si>
  <si>
    <t>4a.3</t>
  </si>
  <si>
    <t>4b.1</t>
  </si>
  <si>
    <t>4b.2</t>
  </si>
  <si>
    <t>4b.3</t>
  </si>
  <si>
    <t>5a.1</t>
  </si>
  <si>
    <t>6a.1</t>
  </si>
  <si>
    <t>6b.1</t>
  </si>
  <si>
    <t>6a.2</t>
  </si>
  <si>
    <t>6b.2</t>
  </si>
  <si>
    <t>7a.1</t>
  </si>
  <si>
    <t>7a.2</t>
  </si>
  <si>
    <t>7a.3</t>
  </si>
  <si>
    <t>7a.4</t>
  </si>
  <si>
    <t>7a.5</t>
  </si>
  <si>
    <t>7a.6</t>
  </si>
  <si>
    <t>7b.1</t>
  </si>
  <si>
    <t>7b.2</t>
  </si>
  <si>
    <t>7b.3</t>
  </si>
  <si>
    <t>7b.4</t>
  </si>
  <si>
    <t>7b.5</t>
  </si>
  <si>
    <t>8a.1</t>
  </si>
  <si>
    <t>8a.2</t>
  </si>
  <si>
    <t>1a.0</t>
  </si>
  <si>
    <t>aucun conduit</t>
  </si>
  <si>
    <t>1b.0</t>
  </si>
  <si>
    <t>2a.0</t>
  </si>
  <si>
    <t>Certain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</si>
</sst>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rgb="FF00B0F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Fill="1" applyAlignment="1">
      <alignment horizontal="center" vertical="center"/>
    </xf>
    <xf numFmtId="0" fontId="2" fillId="2" borderId="0" xfId="0" applyFont="1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D857F-22C8-4624-8585-90FCE8727574}">
  <dimension ref="A1:AA121"/>
  <sheetViews>
    <sheetView tabSelected="1" zoomScaleNormal="100" workbookViewId="0">
      <selection activeCell="N23" sqref="N23"/>
    </sheetView>
  </sheetViews>
  <sheetFormatPr baseColWidth="10" defaultRowHeight="15" x14ac:dyDescent="0.25"/>
  <cols>
    <col min="1" max="1" width="18.140625" bestFit="1" customWidth="1"/>
    <col min="2" max="2" width="8.5703125" style="10" customWidth="1"/>
    <col min="3" max="4" width="31" bestFit="1" customWidth="1"/>
    <col min="5" max="5" width="40.28515625" style="1" customWidth="1"/>
    <col min="6" max="6" width="22.5703125" style="10" bestFit="1" customWidth="1"/>
    <col min="7" max="7" width="15.28515625" style="10" customWidth="1"/>
    <col min="8" max="13" width="11.42578125" style="10"/>
    <col min="14" max="14" width="13.28515625" style="10" customWidth="1"/>
    <col min="15" max="16" width="31" style="10" bestFit="1" customWidth="1"/>
    <col min="24" max="24" width="12" bestFit="1" customWidth="1"/>
  </cols>
  <sheetData>
    <row r="1" spans="1:24" s="6" customFormat="1" x14ac:dyDescent="0.25">
      <c r="A1" s="6" t="s">
        <v>65</v>
      </c>
      <c r="B1" s="9" t="s">
        <v>81</v>
      </c>
      <c r="C1" s="9" t="s">
        <v>28</v>
      </c>
      <c r="D1" s="9" t="s">
        <v>29</v>
      </c>
      <c r="E1" s="5" t="s">
        <v>4</v>
      </c>
      <c r="F1" s="9" t="s">
        <v>5</v>
      </c>
      <c r="G1" s="9" t="s">
        <v>36</v>
      </c>
      <c r="H1" s="9" t="s">
        <v>6</v>
      </c>
      <c r="I1" s="9" t="s">
        <v>7</v>
      </c>
      <c r="J1" s="9" t="s">
        <v>8</v>
      </c>
      <c r="K1" s="9" t="s">
        <v>67</v>
      </c>
      <c r="L1" s="9" t="s">
        <v>66</v>
      </c>
      <c r="M1" s="9" t="s">
        <v>68</v>
      </c>
      <c r="N1" s="9" t="s">
        <v>69</v>
      </c>
      <c r="O1" s="6" t="s">
        <v>75</v>
      </c>
      <c r="P1" s="9" t="s">
        <v>76</v>
      </c>
      <c r="Q1" s="6" t="s">
        <v>11</v>
      </c>
    </row>
    <row r="2" spans="1:24" x14ac:dyDescent="0.25">
      <c r="A2" t="s">
        <v>33</v>
      </c>
      <c r="C2" s="10" t="s">
        <v>39</v>
      </c>
      <c r="D2" s="10"/>
      <c r="E2" s="1" t="s">
        <v>35</v>
      </c>
      <c r="F2" s="10" t="s">
        <v>39</v>
      </c>
      <c r="G2" s="10" t="s">
        <v>38</v>
      </c>
      <c r="I2" s="10">
        <v>5</v>
      </c>
      <c r="J2" s="10">
        <v>1</v>
      </c>
      <c r="L2" s="10">
        <v>1</v>
      </c>
      <c r="O2" s="10">
        <v>30000</v>
      </c>
      <c r="Q2" s="6" t="s">
        <v>55</v>
      </c>
    </row>
    <row r="3" spans="1:24" x14ac:dyDescent="0.25">
      <c r="A3" t="s">
        <v>33</v>
      </c>
      <c r="B3" s="10" t="s">
        <v>128</v>
      </c>
      <c r="C3" s="10" t="s">
        <v>39</v>
      </c>
      <c r="D3" s="1" t="s">
        <v>35</v>
      </c>
      <c r="E3" s="1" t="s">
        <v>35</v>
      </c>
      <c r="F3" s="10" t="s">
        <v>129</v>
      </c>
      <c r="G3" s="10" t="s">
        <v>37</v>
      </c>
      <c r="N3" s="10">
        <f>(1-N4)*(1-N5)*(1-N6)</f>
        <v>0.71288847553460555</v>
      </c>
      <c r="Q3" s="6"/>
    </row>
    <row r="4" spans="1:24" x14ac:dyDescent="0.25">
      <c r="A4" t="s">
        <v>33</v>
      </c>
      <c r="B4" s="10" t="s">
        <v>82</v>
      </c>
      <c r="C4" s="10" t="s">
        <v>39</v>
      </c>
      <c r="D4" s="1" t="s">
        <v>35</v>
      </c>
      <c r="E4" s="1" t="s">
        <v>35</v>
      </c>
      <c r="F4" s="10" t="s">
        <v>9</v>
      </c>
      <c r="G4" s="10" t="s">
        <v>37</v>
      </c>
      <c r="H4" s="10">
        <v>10</v>
      </c>
      <c r="I4" s="10">
        <v>1</v>
      </c>
      <c r="J4" s="10" t="s">
        <v>54</v>
      </c>
      <c r="K4" s="11">
        <v>3200</v>
      </c>
      <c r="L4" s="10">
        <f>1/K4</f>
        <v>3.1250000000000001E-4</v>
      </c>
      <c r="M4" s="10">
        <v>525</v>
      </c>
      <c r="N4" s="10">
        <f t="shared" ref="N4:N6" si="0">1-((1-L4)^M4)</f>
        <v>0.15133278303612252</v>
      </c>
      <c r="O4" s="19">
        <f>O$2*N4/10</f>
        <v>453.99834910836751</v>
      </c>
      <c r="P4" s="10" t="s">
        <v>77</v>
      </c>
    </row>
    <row r="5" spans="1:24" x14ac:dyDescent="0.25">
      <c r="A5" t="s">
        <v>33</v>
      </c>
      <c r="B5" s="10" t="s">
        <v>83</v>
      </c>
      <c r="C5" s="10" t="s">
        <v>39</v>
      </c>
      <c r="D5" s="1" t="s">
        <v>35</v>
      </c>
      <c r="E5" s="1" t="s">
        <v>35</v>
      </c>
      <c r="F5" s="10" t="s">
        <v>10</v>
      </c>
      <c r="G5" s="10" t="s">
        <v>37</v>
      </c>
      <c r="H5" s="10">
        <v>10</v>
      </c>
      <c r="I5" s="10">
        <v>1</v>
      </c>
      <c r="J5" s="10" t="s">
        <v>54</v>
      </c>
      <c r="K5" s="11">
        <v>3200</v>
      </c>
      <c r="L5" s="10">
        <f t="shared" ref="L5:L6" si="1">1/K5</f>
        <v>3.1250000000000001E-4</v>
      </c>
      <c r="M5" s="10">
        <v>525</v>
      </c>
      <c r="N5" s="10">
        <f t="shared" si="0"/>
        <v>0.15133278303612252</v>
      </c>
      <c r="O5" s="19">
        <f>O$2*N5/10</f>
        <v>453.99834910836751</v>
      </c>
      <c r="P5" s="10" t="s">
        <v>77</v>
      </c>
    </row>
    <row r="6" spans="1:24" x14ac:dyDescent="0.25">
      <c r="A6" t="s">
        <v>33</v>
      </c>
      <c r="B6" s="10" t="s">
        <v>84</v>
      </c>
      <c r="C6" s="10" t="s">
        <v>39</v>
      </c>
      <c r="D6" s="1" t="s">
        <v>35</v>
      </c>
      <c r="E6" s="1" t="s">
        <v>35</v>
      </c>
      <c r="F6" s="10">
        <v>13</v>
      </c>
      <c r="G6" s="10" t="s">
        <v>37</v>
      </c>
      <c r="H6" s="10">
        <v>750</v>
      </c>
      <c r="I6" s="10">
        <v>1</v>
      </c>
      <c r="J6" s="10" t="s">
        <v>52</v>
      </c>
      <c r="K6" s="11">
        <v>51200</v>
      </c>
      <c r="L6" s="10">
        <f t="shared" si="1"/>
        <v>1.953125E-5</v>
      </c>
      <c r="M6" s="10">
        <v>525</v>
      </c>
      <c r="N6" s="10">
        <f t="shared" si="0"/>
        <v>1.0201613296215051E-2</v>
      </c>
      <c r="O6" s="19">
        <f t="shared" ref="O6:O64" si="2">O$2*N6</f>
        <v>306.04839888645154</v>
      </c>
      <c r="P6" s="10" t="s">
        <v>77</v>
      </c>
      <c r="Q6" t="s">
        <v>12</v>
      </c>
    </row>
    <row r="7" spans="1:24" x14ac:dyDescent="0.25">
      <c r="C7" s="10"/>
      <c r="D7" s="10"/>
    </row>
    <row r="8" spans="1:24" x14ac:dyDescent="0.25">
      <c r="A8" t="s">
        <v>34</v>
      </c>
      <c r="C8" s="1" t="s">
        <v>35</v>
      </c>
      <c r="D8" s="1" t="s">
        <v>3</v>
      </c>
      <c r="E8" s="1" t="s">
        <v>3</v>
      </c>
      <c r="F8" s="1" t="s">
        <v>35</v>
      </c>
      <c r="G8" s="10" t="s">
        <v>25</v>
      </c>
      <c r="I8" s="10">
        <v>5</v>
      </c>
      <c r="J8" s="10">
        <v>1</v>
      </c>
      <c r="Q8" s="6" t="s">
        <v>56</v>
      </c>
    </row>
    <row r="9" spans="1:24" x14ac:dyDescent="0.25">
      <c r="A9" t="s">
        <v>34</v>
      </c>
      <c r="B9" s="10" t="s">
        <v>130</v>
      </c>
      <c r="C9" s="1" t="s">
        <v>35</v>
      </c>
      <c r="D9" s="1" t="s">
        <v>3</v>
      </c>
      <c r="E9" s="1" t="s">
        <v>3</v>
      </c>
      <c r="F9" s="10" t="s">
        <v>129</v>
      </c>
      <c r="G9" s="10" t="s">
        <v>42</v>
      </c>
      <c r="N9" s="10">
        <f>(1-N10)*(1-N11)*(1-N12)</f>
        <v>0.69862223334479423</v>
      </c>
      <c r="Q9" s="6"/>
    </row>
    <row r="10" spans="1:24" x14ac:dyDescent="0.25">
      <c r="A10" t="s">
        <v>34</v>
      </c>
      <c r="B10" s="10" t="s">
        <v>85</v>
      </c>
      <c r="C10" s="1" t="s">
        <v>35</v>
      </c>
      <c r="D10" s="1" t="s">
        <v>3</v>
      </c>
      <c r="E10" s="1" t="s">
        <v>3</v>
      </c>
      <c r="F10" s="10" t="s">
        <v>9</v>
      </c>
      <c r="G10" s="10" t="s">
        <v>37</v>
      </c>
      <c r="H10" s="10">
        <v>10</v>
      </c>
      <c r="I10" s="10">
        <v>1</v>
      </c>
      <c r="J10" s="10" t="s">
        <v>54</v>
      </c>
      <c r="K10" s="11">
        <v>3200</v>
      </c>
      <c r="L10" s="10">
        <f>1/K10</f>
        <v>3.1250000000000001E-4</v>
      </c>
      <c r="M10" s="10">
        <v>510</v>
      </c>
      <c r="N10" s="10">
        <f>1-((1-L10)^M10)</f>
        <v>0.14734469250135696</v>
      </c>
      <c r="O10" s="19">
        <f>O$2*N10/10</f>
        <v>442.03407750407086</v>
      </c>
      <c r="P10" s="10" t="s">
        <v>77</v>
      </c>
    </row>
    <row r="11" spans="1:24" x14ac:dyDescent="0.25">
      <c r="A11" t="s">
        <v>34</v>
      </c>
      <c r="B11" s="10" t="s">
        <v>87</v>
      </c>
      <c r="C11" s="1" t="s">
        <v>35</v>
      </c>
      <c r="D11" s="1" t="s">
        <v>3</v>
      </c>
      <c r="E11" s="1" t="s">
        <v>3</v>
      </c>
      <c r="F11" s="10" t="s">
        <v>10</v>
      </c>
      <c r="G11" s="10" t="s">
        <v>37</v>
      </c>
      <c r="H11" s="10">
        <v>10</v>
      </c>
      <c r="I11" s="10">
        <v>1</v>
      </c>
      <c r="J11" s="10" t="s">
        <v>54</v>
      </c>
      <c r="K11" s="11">
        <v>3200</v>
      </c>
      <c r="L11" s="10">
        <f t="shared" ref="L11:L19" si="3">1/K11</f>
        <v>3.1250000000000001E-4</v>
      </c>
      <c r="M11" s="10">
        <v>510</v>
      </c>
      <c r="N11" s="10">
        <f t="shared" ref="N11:N12" si="4">1-((1-L11)^M11)</f>
        <v>0.14734469250135696</v>
      </c>
      <c r="O11" s="19">
        <f>O$2*N11/10</f>
        <v>442.03407750407086</v>
      </c>
      <c r="P11" s="10" t="s">
        <v>77</v>
      </c>
    </row>
    <row r="12" spans="1:24" x14ac:dyDescent="0.25">
      <c r="A12" t="s">
        <v>34</v>
      </c>
      <c r="B12" s="10" t="s">
        <v>86</v>
      </c>
      <c r="C12" s="1" t="s">
        <v>35</v>
      </c>
      <c r="D12" s="1" t="s">
        <v>3</v>
      </c>
      <c r="E12" s="1" t="s">
        <v>3</v>
      </c>
      <c r="F12" s="10">
        <v>13</v>
      </c>
      <c r="G12" s="10" t="s">
        <v>37</v>
      </c>
      <c r="H12" s="10">
        <v>250</v>
      </c>
      <c r="I12" s="10">
        <v>1</v>
      </c>
      <c r="J12" s="10" t="s">
        <v>59</v>
      </c>
      <c r="K12" s="11">
        <v>12800</v>
      </c>
      <c r="L12" s="10">
        <f t="shared" si="3"/>
        <v>7.8125000000000002E-5</v>
      </c>
      <c r="M12" s="10">
        <v>510</v>
      </c>
      <c r="N12" s="10">
        <f t="shared" si="4"/>
        <v>3.9061921448551362E-2</v>
      </c>
      <c r="O12" s="17">
        <f t="shared" si="2"/>
        <v>1171.8576434565409</v>
      </c>
      <c r="P12" s="10" t="s">
        <v>77</v>
      </c>
    </row>
    <row r="13" spans="1:24" x14ac:dyDescent="0.25">
      <c r="C13" s="10"/>
      <c r="D13" s="10"/>
    </row>
    <row r="14" spans="1:24" x14ac:dyDescent="0.25">
      <c r="A14" t="s">
        <v>13</v>
      </c>
      <c r="C14" s="1" t="s">
        <v>3</v>
      </c>
      <c r="D14" s="10" t="s">
        <v>1</v>
      </c>
      <c r="E14" s="1" t="s">
        <v>1</v>
      </c>
      <c r="F14" s="1" t="s">
        <v>3</v>
      </c>
      <c r="G14" s="10" t="s">
        <v>25</v>
      </c>
      <c r="H14" s="10">
        <v>55</v>
      </c>
      <c r="I14" s="10">
        <v>5</v>
      </c>
      <c r="J14" s="10">
        <v>1</v>
      </c>
      <c r="Q14" s="6" t="s">
        <v>57</v>
      </c>
    </row>
    <row r="15" spans="1:24" x14ac:dyDescent="0.25">
      <c r="A15" t="s">
        <v>13</v>
      </c>
      <c r="B15" s="10" t="s">
        <v>131</v>
      </c>
      <c r="C15" s="1" t="s">
        <v>3</v>
      </c>
      <c r="D15" s="10" t="s">
        <v>1</v>
      </c>
      <c r="E15" s="1" t="s">
        <v>1</v>
      </c>
      <c r="F15" s="10" t="s">
        <v>129</v>
      </c>
      <c r="G15" s="10" t="s">
        <v>42</v>
      </c>
      <c r="N15" s="10">
        <f>(1-N16)*(1-N17)*(1-N18)</f>
        <v>0.97454726722425844</v>
      </c>
      <c r="Q15" s="6"/>
    </row>
    <row r="16" spans="1:24" x14ac:dyDescent="0.25">
      <c r="A16" t="s">
        <v>13</v>
      </c>
      <c r="B16" s="10" t="s">
        <v>88</v>
      </c>
      <c r="C16" s="1" t="s">
        <v>3</v>
      </c>
      <c r="D16" s="10" t="s">
        <v>1</v>
      </c>
      <c r="E16" s="1" t="s">
        <v>1</v>
      </c>
      <c r="F16" s="10" t="s">
        <v>9</v>
      </c>
      <c r="G16" s="10" t="s">
        <v>37</v>
      </c>
      <c r="H16" s="10">
        <v>255</v>
      </c>
      <c r="I16" s="10">
        <v>1</v>
      </c>
      <c r="J16" s="10" t="s">
        <v>51</v>
      </c>
      <c r="K16" s="11">
        <v>12800</v>
      </c>
      <c r="L16" s="10">
        <f t="shared" si="3"/>
        <v>7.8125000000000002E-5</v>
      </c>
      <c r="M16" s="10">
        <v>110</v>
      </c>
      <c r="N16" s="10">
        <f t="shared" ref="N16:N19" si="5">1-((1-L16)^M16)</f>
        <v>8.557262120117759E-3</v>
      </c>
      <c r="O16" s="16">
        <f>O$2*N16/10</f>
        <v>25.671786360353273</v>
      </c>
      <c r="P16" s="10" t="s">
        <v>77</v>
      </c>
      <c r="X16">
        <v>200</v>
      </c>
    </row>
    <row r="17" spans="1:24" x14ac:dyDescent="0.25">
      <c r="A17" t="s">
        <v>13</v>
      </c>
      <c r="B17" s="10" t="s">
        <v>89</v>
      </c>
      <c r="C17" s="1" t="s">
        <v>3</v>
      </c>
      <c r="D17" s="10" t="s">
        <v>1</v>
      </c>
      <c r="E17" s="1" t="s">
        <v>1</v>
      </c>
      <c r="F17" s="10" t="s">
        <v>10</v>
      </c>
      <c r="G17" s="10" t="s">
        <v>37</v>
      </c>
      <c r="H17" s="10">
        <v>255</v>
      </c>
      <c r="I17" s="10">
        <v>1</v>
      </c>
      <c r="J17" s="10" t="s">
        <v>51</v>
      </c>
      <c r="K17" s="11">
        <v>12800</v>
      </c>
      <c r="L17" s="10">
        <f t="shared" si="3"/>
        <v>7.8125000000000002E-5</v>
      </c>
      <c r="M17" s="10">
        <v>110</v>
      </c>
      <c r="N17" s="10">
        <f t="shared" si="5"/>
        <v>8.557262120117759E-3</v>
      </c>
      <c r="O17" s="16">
        <f>O$2*N17/10</f>
        <v>25.671786360353273</v>
      </c>
      <c r="P17" s="10" t="s">
        <v>77</v>
      </c>
      <c r="X17">
        <f>((1-L22)^X16)</f>
        <v>0.36695782172616803</v>
      </c>
    </row>
    <row r="18" spans="1:24" x14ac:dyDescent="0.25">
      <c r="A18" t="s">
        <v>13</v>
      </c>
      <c r="B18" s="10" t="s">
        <v>90</v>
      </c>
      <c r="C18" s="1" t="s">
        <v>3</v>
      </c>
      <c r="D18" s="10" t="s">
        <v>1</v>
      </c>
      <c r="E18" s="1" t="s">
        <v>1</v>
      </c>
      <c r="F18" s="10" t="s">
        <v>40</v>
      </c>
      <c r="G18" s="10" t="s">
        <v>37</v>
      </c>
      <c r="H18" s="10">
        <v>30</v>
      </c>
      <c r="I18" s="10">
        <v>1</v>
      </c>
      <c r="J18" s="10" t="s">
        <v>51</v>
      </c>
      <c r="K18" s="11">
        <v>12800</v>
      </c>
      <c r="L18" s="10">
        <f t="shared" si="3"/>
        <v>7.8125000000000002E-5</v>
      </c>
      <c r="M18" s="10">
        <v>110</v>
      </c>
      <c r="N18" s="10">
        <f t="shared" si="5"/>
        <v>8.557262120117759E-3</v>
      </c>
      <c r="O18" s="19">
        <f t="shared" si="2"/>
        <v>256.71786360353275</v>
      </c>
      <c r="P18" s="10" t="s">
        <v>77</v>
      </c>
      <c r="X18">
        <f>1-X17</f>
        <v>0.63304217827383202</v>
      </c>
    </row>
    <row r="19" spans="1:24" x14ac:dyDescent="0.25">
      <c r="A19" t="s">
        <v>13</v>
      </c>
      <c r="B19" s="10" t="s">
        <v>91</v>
      </c>
      <c r="C19" s="1" t="s">
        <v>3</v>
      </c>
      <c r="D19" s="10" t="s">
        <v>1</v>
      </c>
      <c r="E19" s="1" t="s">
        <v>1</v>
      </c>
      <c r="F19" s="10">
        <v>13</v>
      </c>
      <c r="G19" s="10" t="s">
        <v>37</v>
      </c>
      <c r="H19" s="10">
        <v>20</v>
      </c>
      <c r="I19" s="10">
        <v>1</v>
      </c>
      <c r="J19" s="10" t="s">
        <v>51</v>
      </c>
      <c r="K19" s="11">
        <v>12800</v>
      </c>
      <c r="L19" s="10">
        <f t="shared" si="3"/>
        <v>7.8125000000000002E-5</v>
      </c>
      <c r="M19" s="10">
        <v>110</v>
      </c>
      <c r="N19" s="10">
        <f t="shared" si="5"/>
        <v>8.557262120117759E-3</v>
      </c>
      <c r="O19" s="19">
        <f t="shared" si="2"/>
        <v>256.71786360353275</v>
      </c>
      <c r="P19" s="10" t="s">
        <v>77</v>
      </c>
    </row>
    <row r="20" spans="1:24" x14ac:dyDescent="0.25">
      <c r="C20" s="1"/>
      <c r="D20" s="10"/>
    </row>
    <row r="21" spans="1:24" x14ac:dyDescent="0.25">
      <c r="A21" t="s">
        <v>14</v>
      </c>
      <c r="C21" s="10" t="s">
        <v>1</v>
      </c>
      <c r="D21" s="1" t="s">
        <v>2</v>
      </c>
      <c r="E21" s="1" t="s">
        <v>2</v>
      </c>
      <c r="F21" s="10" t="s">
        <v>0</v>
      </c>
      <c r="G21" s="10" t="s">
        <v>25</v>
      </c>
      <c r="H21" s="10">
        <v>1</v>
      </c>
      <c r="I21" s="10">
        <v>3</v>
      </c>
      <c r="J21" s="10">
        <v>1</v>
      </c>
      <c r="Q21" s="6" t="s">
        <v>58</v>
      </c>
    </row>
    <row r="22" spans="1:24" x14ac:dyDescent="0.25">
      <c r="A22" t="s">
        <v>14</v>
      </c>
      <c r="B22" s="10" t="s">
        <v>92</v>
      </c>
      <c r="C22" s="10" t="s">
        <v>1</v>
      </c>
      <c r="D22" s="1" t="s">
        <v>2</v>
      </c>
      <c r="E22" s="1" t="s">
        <v>2</v>
      </c>
      <c r="F22" s="10">
        <v>13</v>
      </c>
      <c r="G22" s="10" t="s">
        <v>37</v>
      </c>
      <c r="H22" s="10">
        <v>10</v>
      </c>
      <c r="I22" s="10">
        <v>1</v>
      </c>
      <c r="J22" s="10" t="s">
        <v>50</v>
      </c>
      <c r="K22" s="11">
        <v>200</v>
      </c>
      <c r="L22" s="10">
        <f t="shared" ref="L22:L27" si="6">1/K22</f>
        <v>5.0000000000000001E-3</v>
      </c>
      <c r="M22" s="10">
        <v>200</v>
      </c>
      <c r="N22" s="10">
        <f>1-((1-L22)^M22)</f>
        <v>0.63304217827383202</v>
      </c>
      <c r="O22" s="15">
        <f t="shared" si="2"/>
        <v>18991.265348214962</v>
      </c>
      <c r="P22" s="10" t="s">
        <v>78</v>
      </c>
      <c r="Q22" s="8" t="s">
        <v>41</v>
      </c>
    </row>
    <row r="23" spans="1:24" x14ac:dyDescent="0.25">
      <c r="A23" t="s">
        <v>14</v>
      </c>
      <c r="B23" s="10" t="s">
        <v>93</v>
      </c>
      <c r="C23" s="10" t="s">
        <v>1</v>
      </c>
      <c r="D23" s="1" t="s">
        <v>2</v>
      </c>
      <c r="E23" s="1" t="s">
        <v>2</v>
      </c>
      <c r="F23" s="10" t="s">
        <v>48</v>
      </c>
      <c r="G23" s="10" t="s">
        <v>37</v>
      </c>
      <c r="H23" s="10">
        <v>1</v>
      </c>
      <c r="I23" s="10">
        <v>1</v>
      </c>
      <c r="J23" s="10">
        <v>1</v>
      </c>
      <c r="K23" s="11">
        <v>165</v>
      </c>
      <c r="L23" s="10">
        <f t="shared" si="6"/>
        <v>6.0606060606060606E-3</v>
      </c>
      <c r="M23" s="10">
        <v>165</v>
      </c>
      <c r="N23" s="10">
        <f t="shared" ref="N22:N27" si="7">M23*L23</f>
        <v>1</v>
      </c>
      <c r="O23" s="15">
        <f t="shared" si="2"/>
        <v>30000</v>
      </c>
      <c r="P23" s="10" t="s">
        <v>78</v>
      </c>
      <c r="Q23" s="8" t="s">
        <v>41</v>
      </c>
    </row>
    <row r="24" spans="1:24" x14ac:dyDescent="0.25">
      <c r="A24" t="s">
        <v>14</v>
      </c>
      <c r="B24" s="10" t="s">
        <v>94</v>
      </c>
      <c r="C24" s="10" t="s">
        <v>1</v>
      </c>
      <c r="D24" s="1" t="s">
        <v>2</v>
      </c>
      <c r="E24" s="1" t="s">
        <v>2</v>
      </c>
      <c r="F24" s="10">
        <v>40</v>
      </c>
      <c r="G24" s="10" t="s">
        <v>37</v>
      </c>
      <c r="H24" s="10">
        <v>10</v>
      </c>
      <c r="I24" s="10">
        <v>1</v>
      </c>
      <c r="J24" s="10" t="s">
        <v>53</v>
      </c>
      <c r="K24" s="11">
        <v>400</v>
      </c>
      <c r="L24" s="10">
        <f t="shared" si="6"/>
        <v>2.5000000000000001E-3</v>
      </c>
      <c r="M24" s="10">
        <v>165</v>
      </c>
      <c r="N24" s="10">
        <f t="shared" ref="N24:N27" si="8">1-((1-L24)^M24)</f>
        <v>0.33834862523971632</v>
      </c>
      <c r="O24" s="15">
        <f t="shared" si="2"/>
        <v>10150.458757191489</v>
      </c>
      <c r="P24" s="10" t="s">
        <v>78</v>
      </c>
      <c r="Q24" s="8" t="s">
        <v>41</v>
      </c>
    </row>
    <row r="25" spans="1:24" x14ac:dyDescent="0.25">
      <c r="A25" t="s">
        <v>14</v>
      </c>
      <c r="B25" s="10" t="s">
        <v>95</v>
      </c>
      <c r="C25" s="10" t="s">
        <v>1</v>
      </c>
      <c r="D25" s="1" t="s">
        <v>2</v>
      </c>
      <c r="E25" s="1" t="s">
        <v>2</v>
      </c>
      <c r="F25" s="10" t="s">
        <v>46</v>
      </c>
      <c r="G25" s="10" t="s">
        <v>37</v>
      </c>
      <c r="H25" s="10">
        <v>1</v>
      </c>
      <c r="I25" s="10">
        <v>1</v>
      </c>
      <c r="J25" s="10" t="s">
        <v>54</v>
      </c>
      <c r="K25" s="11">
        <v>3200</v>
      </c>
      <c r="L25" s="10">
        <f t="shared" si="6"/>
        <v>3.1250000000000001E-4</v>
      </c>
      <c r="M25" s="10">
        <v>165</v>
      </c>
      <c r="N25" s="10">
        <f t="shared" si="8"/>
        <v>5.0263364222959961E-2</v>
      </c>
      <c r="O25" s="17">
        <f t="shared" si="2"/>
        <v>1507.9009266887988</v>
      </c>
      <c r="P25" s="10" t="s">
        <v>78</v>
      </c>
      <c r="Q25" s="8" t="s">
        <v>41</v>
      </c>
    </row>
    <row r="26" spans="1:24" x14ac:dyDescent="0.25">
      <c r="A26" t="s">
        <v>14</v>
      </c>
      <c r="B26" s="10" t="s">
        <v>96</v>
      </c>
      <c r="C26" s="10" t="s">
        <v>1</v>
      </c>
      <c r="D26" s="1" t="s">
        <v>2</v>
      </c>
      <c r="E26" s="1" t="s">
        <v>2</v>
      </c>
      <c r="F26" s="10" t="s">
        <v>40</v>
      </c>
      <c r="G26" s="10" t="s">
        <v>37</v>
      </c>
      <c r="H26" s="10">
        <v>1</v>
      </c>
      <c r="I26" s="10">
        <v>1</v>
      </c>
      <c r="J26" s="10" t="s">
        <v>54</v>
      </c>
      <c r="K26" s="11">
        <v>3200</v>
      </c>
      <c r="L26" s="10">
        <f t="shared" si="6"/>
        <v>3.1250000000000001E-4</v>
      </c>
      <c r="M26" s="10">
        <v>165</v>
      </c>
      <c r="N26" s="10">
        <f t="shared" si="8"/>
        <v>5.0263364222959961E-2</v>
      </c>
      <c r="O26" s="17">
        <f t="shared" si="2"/>
        <v>1507.9009266887988</v>
      </c>
      <c r="P26" s="10" t="s">
        <v>78</v>
      </c>
      <c r="Q26" s="8" t="s">
        <v>41</v>
      </c>
    </row>
    <row r="27" spans="1:24" x14ac:dyDescent="0.25">
      <c r="A27" t="s">
        <v>14</v>
      </c>
      <c r="B27" s="10" t="s">
        <v>97</v>
      </c>
      <c r="C27" s="10" t="s">
        <v>1</v>
      </c>
      <c r="D27" s="1" t="s">
        <v>2</v>
      </c>
      <c r="E27" s="1" t="s">
        <v>2</v>
      </c>
      <c r="F27" s="10" t="s">
        <v>47</v>
      </c>
      <c r="G27" s="10" t="s">
        <v>37</v>
      </c>
      <c r="H27" s="10">
        <v>1</v>
      </c>
      <c r="I27" s="10">
        <v>1</v>
      </c>
      <c r="J27" s="10" t="s">
        <v>53</v>
      </c>
      <c r="K27" s="11">
        <v>800</v>
      </c>
      <c r="L27" s="10">
        <f t="shared" si="6"/>
        <v>1.25E-3</v>
      </c>
      <c r="M27" s="10">
        <v>165</v>
      </c>
      <c r="N27" s="10">
        <f t="shared" si="8"/>
        <v>0.18647531921488669</v>
      </c>
      <c r="O27" s="15">
        <f t="shared" si="2"/>
        <v>5594.2595764466005</v>
      </c>
      <c r="P27" s="10" t="s">
        <v>78</v>
      </c>
      <c r="Q27" s="8" t="s">
        <v>41</v>
      </c>
    </row>
    <row r="28" spans="1:24" x14ac:dyDescent="0.25">
      <c r="C28" s="10"/>
      <c r="D28" s="10"/>
    </row>
    <row r="29" spans="1:24" x14ac:dyDescent="0.25">
      <c r="A29" t="s">
        <v>15</v>
      </c>
      <c r="C29" s="10" t="s">
        <v>39</v>
      </c>
      <c r="D29" s="1" t="s">
        <v>35</v>
      </c>
      <c r="E29" s="1" t="s">
        <v>35</v>
      </c>
      <c r="F29" s="10" t="s">
        <v>39</v>
      </c>
      <c r="G29" s="10" t="s">
        <v>38</v>
      </c>
      <c r="I29" s="10">
        <v>5</v>
      </c>
      <c r="J29" s="10">
        <v>1</v>
      </c>
      <c r="Q29" s="6" t="s">
        <v>55</v>
      </c>
    </row>
    <row r="30" spans="1:24" x14ac:dyDescent="0.25">
      <c r="A30" t="s">
        <v>15</v>
      </c>
      <c r="B30" s="10" t="s">
        <v>98</v>
      </c>
      <c r="C30" s="10" t="s">
        <v>39</v>
      </c>
      <c r="D30" s="1" t="s">
        <v>35</v>
      </c>
      <c r="E30" s="1" t="s">
        <v>35</v>
      </c>
      <c r="F30" s="10" t="s">
        <v>9</v>
      </c>
      <c r="G30" s="10" t="s">
        <v>42</v>
      </c>
      <c r="H30" s="10">
        <v>10</v>
      </c>
      <c r="I30" s="10">
        <v>1</v>
      </c>
      <c r="J30" s="10" t="s">
        <v>54</v>
      </c>
      <c r="K30" s="11">
        <v>3200</v>
      </c>
      <c r="L30" s="10">
        <f t="shared" ref="L30:L32" si="9">1/K30</f>
        <v>3.1250000000000001E-4</v>
      </c>
      <c r="M30" s="10">
        <v>525</v>
      </c>
      <c r="N30" s="10">
        <f t="shared" ref="N30:N32" si="10">1-((1-L30)^M30)</f>
        <v>0.15133278303612252</v>
      </c>
      <c r="O30" s="19">
        <f>O$2*N30/10</f>
        <v>453.99834910836751</v>
      </c>
      <c r="P30" s="10" t="s">
        <v>77</v>
      </c>
    </row>
    <row r="31" spans="1:24" x14ac:dyDescent="0.25">
      <c r="A31" t="s">
        <v>15</v>
      </c>
      <c r="B31" s="10" t="s">
        <v>99</v>
      </c>
      <c r="C31" s="10" t="s">
        <v>39</v>
      </c>
      <c r="D31" s="1" t="s">
        <v>35</v>
      </c>
      <c r="E31" s="1" t="s">
        <v>35</v>
      </c>
      <c r="F31" s="10" t="s">
        <v>10</v>
      </c>
      <c r="G31" s="10" t="s">
        <v>42</v>
      </c>
      <c r="H31" s="10">
        <v>10</v>
      </c>
      <c r="I31" s="10">
        <v>1</v>
      </c>
      <c r="J31" s="10" t="s">
        <v>54</v>
      </c>
      <c r="K31" s="11">
        <v>3200</v>
      </c>
      <c r="L31" s="10">
        <f t="shared" si="9"/>
        <v>3.1250000000000001E-4</v>
      </c>
      <c r="M31" s="10">
        <v>525</v>
      </c>
      <c r="N31" s="10">
        <f t="shared" si="10"/>
        <v>0.15133278303612252</v>
      </c>
      <c r="O31" s="19">
        <f>O$2*N31/10</f>
        <v>453.99834910836751</v>
      </c>
      <c r="P31" s="10" t="s">
        <v>77</v>
      </c>
    </row>
    <row r="32" spans="1:24" x14ac:dyDescent="0.25">
      <c r="A32" t="s">
        <v>15</v>
      </c>
      <c r="B32" s="10" t="s">
        <v>100</v>
      </c>
      <c r="C32" s="10" t="s">
        <v>39</v>
      </c>
      <c r="D32" s="1" t="s">
        <v>35</v>
      </c>
      <c r="E32" s="1" t="s">
        <v>35</v>
      </c>
      <c r="F32" s="10">
        <v>13</v>
      </c>
      <c r="G32" s="10" t="s">
        <v>42</v>
      </c>
      <c r="H32" s="10">
        <v>750</v>
      </c>
      <c r="I32" s="10">
        <v>1</v>
      </c>
      <c r="J32" s="10" t="s">
        <v>52</v>
      </c>
      <c r="K32" s="11">
        <v>51200</v>
      </c>
      <c r="L32" s="10">
        <f t="shared" si="9"/>
        <v>1.953125E-5</v>
      </c>
      <c r="M32" s="10">
        <v>525</v>
      </c>
      <c r="N32" s="10">
        <f t="shared" si="10"/>
        <v>1.0201613296215051E-2</v>
      </c>
      <c r="O32" s="19">
        <f t="shared" si="2"/>
        <v>306.04839888645154</v>
      </c>
      <c r="P32" s="10" t="s">
        <v>77</v>
      </c>
      <c r="Q32" t="s">
        <v>12</v>
      </c>
    </row>
    <row r="33" spans="1:17" x14ac:dyDescent="0.25">
      <c r="C33" s="10"/>
      <c r="D33" s="10"/>
    </row>
    <row r="34" spans="1:17" x14ac:dyDescent="0.25">
      <c r="A34" t="s">
        <v>16</v>
      </c>
      <c r="C34" s="1" t="s">
        <v>35</v>
      </c>
      <c r="D34" s="1" t="s">
        <v>3</v>
      </c>
      <c r="E34" s="1" t="s">
        <v>35</v>
      </c>
      <c r="F34" s="10" t="s">
        <v>39</v>
      </c>
      <c r="G34" s="10" t="s">
        <v>38</v>
      </c>
      <c r="I34" s="10">
        <v>5</v>
      </c>
      <c r="J34" s="10">
        <v>1</v>
      </c>
      <c r="Q34" s="6" t="s">
        <v>56</v>
      </c>
    </row>
    <row r="35" spans="1:17" x14ac:dyDescent="0.25">
      <c r="A35" t="s">
        <v>16</v>
      </c>
      <c r="B35" s="10" t="s">
        <v>101</v>
      </c>
      <c r="C35" s="1" t="s">
        <v>35</v>
      </c>
      <c r="D35" s="1" t="s">
        <v>3</v>
      </c>
      <c r="E35" s="1" t="s">
        <v>3</v>
      </c>
      <c r="F35" s="10" t="s">
        <v>9</v>
      </c>
      <c r="G35" s="10" t="s">
        <v>42</v>
      </c>
      <c r="H35" s="10">
        <v>10</v>
      </c>
      <c r="I35" s="10">
        <v>1</v>
      </c>
      <c r="J35" s="10" t="s">
        <v>54</v>
      </c>
      <c r="K35" s="11">
        <v>3200</v>
      </c>
      <c r="L35" s="10">
        <f t="shared" ref="L35:L37" si="11">1/K35</f>
        <v>3.1250000000000001E-4</v>
      </c>
      <c r="M35" s="10">
        <v>510</v>
      </c>
      <c r="N35" s="10">
        <f t="shared" ref="N35:N37" si="12">1-((1-L35)^M35)</f>
        <v>0.14734469250135696</v>
      </c>
      <c r="O35" s="19">
        <f>O$2*N35/10</f>
        <v>442.03407750407086</v>
      </c>
      <c r="P35" s="10" t="s">
        <v>77</v>
      </c>
    </row>
    <row r="36" spans="1:17" x14ac:dyDescent="0.25">
      <c r="A36" t="s">
        <v>16</v>
      </c>
      <c r="B36" s="10" t="s">
        <v>102</v>
      </c>
      <c r="C36" s="1" t="s">
        <v>35</v>
      </c>
      <c r="D36" s="1" t="s">
        <v>3</v>
      </c>
      <c r="E36" s="1" t="s">
        <v>3</v>
      </c>
      <c r="F36" s="10" t="s">
        <v>10</v>
      </c>
      <c r="G36" s="10" t="s">
        <v>42</v>
      </c>
      <c r="H36" s="10">
        <v>10</v>
      </c>
      <c r="I36" s="10">
        <v>1</v>
      </c>
      <c r="J36" s="10" t="s">
        <v>54</v>
      </c>
      <c r="K36" s="11">
        <v>3200</v>
      </c>
      <c r="L36" s="10">
        <f t="shared" si="11"/>
        <v>3.1250000000000001E-4</v>
      </c>
      <c r="M36" s="10">
        <v>510</v>
      </c>
      <c r="N36" s="10">
        <f t="shared" si="12"/>
        <v>0.14734469250135696</v>
      </c>
      <c r="O36" s="19">
        <f>O$2*N36/10</f>
        <v>442.03407750407086</v>
      </c>
      <c r="P36" s="10" t="s">
        <v>77</v>
      </c>
    </row>
    <row r="37" spans="1:17" x14ac:dyDescent="0.25">
      <c r="A37" t="s">
        <v>16</v>
      </c>
      <c r="B37" s="10" t="s">
        <v>103</v>
      </c>
      <c r="C37" s="1" t="s">
        <v>35</v>
      </c>
      <c r="D37" s="1" t="s">
        <v>3</v>
      </c>
      <c r="E37" s="1" t="s">
        <v>3</v>
      </c>
      <c r="F37" s="10">
        <v>13</v>
      </c>
      <c r="G37" s="10" t="s">
        <v>42</v>
      </c>
      <c r="H37" s="10">
        <v>250</v>
      </c>
      <c r="I37" s="10">
        <v>1</v>
      </c>
      <c r="J37" s="10" t="s">
        <v>59</v>
      </c>
      <c r="K37" s="11">
        <v>12800</v>
      </c>
      <c r="L37" s="10">
        <f t="shared" si="11"/>
        <v>7.8125000000000002E-5</v>
      </c>
      <c r="M37" s="10">
        <v>510</v>
      </c>
      <c r="N37" s="10">
        <f t="shared" si="12"/>
        <v>3.9061921448551362E-2</v>
      </c>
      <c r="O37" s="17">
        <f t="shared" si="2"/>
        <v>1171.8576434565409</v>
      </c>
      <c r="P37" s="10" t="s">
        <v>77</v>
      </c>
    </row>
    <row r="38" spans="1:17" x14ac:dyDescent="0.25">
      <c r="C38" s="1"/>
      <c r="D38" s="10"/>
    </row>
    <row r="39" spans="1:17" x14ac:dyDescent="0.25">
      <c r="A39" t="s">
        <v>19</v>
      </c>
      <c r="B39" s="10" t="s">
        <v>104</v>
      </c>
      <c r="C39" s="10" t="s">
        <v>2</v>
      </c>
      <c r="D39" s="10" t="s">
        <v>18</v>
      </c>
      <c r="E39" s="1" t="s">
        <v>2</v>
      </c>
      <c r="F39" s="10" t="s">
        <v>0</v>
      </c>
      <c r="G39" s="10" t="s">
        <v>25</v>
      </c>
      <c r="H39" s="10">
        <v>1</v>
      </c>
      <c r="I39" s="10">
        <v>3</v>
      </c>
      <c r="J39" s="10">
        <v>1</v>
      </c>
      <c r="Q39" s="6" t="s">
        <v>58</v>
      </c>
    </row>
    <row r="40" spans="1:17" x14ac:dyDescent="0.25">
      <c r="A40" t="s">
        <v>19</v>
      </c>
      <c r="B40" s="10" t="s">
        <v>105</v>
      </c>
      <c r="C40" s="10" t="s">
        <v>2</v>
      </c>
      <c r="D40" s="10" t="s">
        <v>18</v>
      </c>
      <c r="E40" s="7" t="s">
        <v>17</v>
      </c>
      <c r="F40" s="10">
        <v>13</v>
      </c>
      <c r="G40" s="10" t="s">
        <v>42</v>
      </c>
      <c r="H40" s="10">
        <v>2</v>
      </c>
      <c r="I40" s="10">
        <v>1</v>
      </c>
      <c r="J40" s="10" t="s">
        <v>50</v>
      </c>
      <c r="K40" s="11">
        <v>200</v>
      </c>
      <c r="L40" s="10">
        <f t="shared" ref="L40:L41" si="13">1/K40</f>
        <v>5.0000000000000001E-3</v>
      </c>
      <c r="M40" s="10">
        <v>30</v>
      </c>
      <c r="N40" s="10">
        <f t="shared" ref="N40:N41" si="14">1-((1-L40)^M40)</f>
        <v>0.13961580808530361</v>
      </c>
      <c r="O40" s="15">
        <f t="shared" si="2"/>
        <v>4188.4742425591085</v>
      </c>
      <c r="P40" s="10" t="s">
        <v>78</v>
      </c>
    </row>
    <row r="41" spans="1:17" x14ac:dyDescent="0.25">
      <c r="A41" t="s">
        <v>19</v>
      </c>
      <c r="B41" s="10" t="s">
        <v>106</v>
      </c>
      <c r="C41" s="10" t="s">
        <v>2</v>
      </c>
      <c r="D41" s="10" t="s">
        <v>18</v>
      </c>
      <c r="E41" s="7" t="s">
        <v>17</v>
      </c>
      <c r="F41" s="10">
        <v>11</v>
      </c>
      <c r="G41" s="10" t="s">
        <v>42</v>
      </c>
      <c r="H41" s="10">
        <v>2</v>
      </c>
      <c r="I41" s="10">
        <v>1</v>
      </c>
      <c r="J41" s="10" t="s">
        <v>50</v>
      </c>
      <c r="K41" s="11">
        <v>200</v>
      </c>
      <c r="L41" s="10">
        <f t="shared" si="13"/>
        <v>5.0000000000000001E-3</v>
      </c>
      <c r="M41" s="10">
        <v>30</v>
      </c>
      <c r="N41" s="10">
        <f t="shared" si="14"/>
        <v>0.13961580808530361</v>
      </c>
      <c r="O41" s="15">
        <f t="shared" si="2"/>
        <v>4188.4742425591085</v>
      </c>
      <c r="P41" s="10" t="s">
        <v>78</v>
      </c>
    </row>
    <row r="42" spans="1:17" x14ac:dyDescent="0.25">
      <c r="C42" s="1"/>
      <c r="D42" s="10"/>
    </row>
    <row r="43" spans="1:17" x14ac:dyDescent="0.25">
      <c r="A43" t="s">
        <v>20</v>
      </c>
      <c r="B43" s="10" t="s">
        <v>107</v>
      </c>
      <c r="C43" s="10" t="s">
        <v>18</v>
      </c>
      <c r="D43" s="1" t="s">
        <v>21</v>
      </c>
      <c r="E43" s="1" t="s">
        <v>18</v>
      </c>
      <c r="F43" s="10" t="s">
        <v>61</v>
      </c>
      <c r="G43" s="10" t="s">
        <v>25</v>
      </c>
      <c r="I43" s="10">
        <v>3</v>
      </c>
      <c r="J43" s="10">
        <v>1</v>
      </c>
      <c r="Q43" s="6" t="s">
        <v>62</v>
      </c>
    </row>
    <row r="44" spans="1:17" x14ac:dyDescent="0.25">
      <c r="A44" t="s">
        <v>20</v>
      </c>
      <c r="B44" s="10" t="s">
        <v>108</v>
      </c>
      <c r="C44" s="10" t="s">
        <v>18</v>
      </c>
      <c r="D44" s="1" t="s">
        <v>21</v>
      </c>
      <c r="E44" s="1" t="s">
        <v>21</v>
      </c>
      <c r="F44" s="10">
        <v>11</v>
      </c>
      <c r="G44" s="10" t="s">
        <v>42</v>
      </c>
      <c r="H44" s="10">
        <v>30</v>
      </c>
      <c r="I44" s="10">
        <v>1</v>
      </c>
      <c r="J44" s="10" t="s">
        <v>49</v>
      </c>
      <c r="K44" s="11">
        <v>3200</v>
      </c>
      <c r="L44" s="10">
        <f t="shared" ref="L44:L45" si="15">1/K44</f>
        <v>3.1250000000000001E-4</v>
      </c>
      <c r="M44" s="10">
        <v>265</v>
      </c>
      <c r="N44" s="10">
        <f t="shared" ref="N44:N45" si="16">M44*L44</f>
        <v>8.2812499999999997E-2</v>
      </c>
      <c r="O44" s="17">
        <f t="shared" si="2"/>
        <v>2484.375</v>
      </c>
      <c r="P44" s="10" t="s">
        <v>79</v>
      </c>
    </row>
    <row r="45" spans="1:17" x14ac:dyDescent="0.25">
      <c r="A45" t="s">
        <v>20</v>
      </c>
      <c r="B45" s="10" t="s">
        <v>109</v>
      </c>
      <c r="C45" s="10" t="s">
        <v>18</v>
      </c>
      <c r="D45" s="1" t="s">
        <v>21</v>
      </c>
      <c r="E45" s="1" t="s">
        <v>21</v>
      </c>
      <c r="F45" s="10">
        <v>13</v>
      </c>
      <c r="G45" s="10" t="s">
        <v>42</v>
      </c>
      <c r="H45" s="10">
        <v>30</v>
      </c>
      <c r="I45" s="10">
        <v>1</v>
      </c>
      <c r="J45" s="10" t="s">
        <v>49</v>
      </c>
      <c r="K45" s="11">
        <v>3200</v>
      </c>
      <c r="L45" s="10">
        <f t="shared" si="15"/>
        <v>3.1250000000000001E-4</v>
      </c>
      <c r="M45" s="10">
        <v>265</v>
      </c>
      <c r="N45" s="10">
        <f t="shared" si="16"/>
        <v>8.2812499999999997E-2</v>
      </c>
      <c r="O45" s="17">
        <f t="shared" si="2"/>
        <v>2484.375</v>
      </c>
      <c r="P45" s="10" t="s">
        <v>79</v>
      </c>
    </row>
    <row r="46" spans="1:17" x14ac:dyDescent="0.25">
      <c r="C46" s="10"/>
      <c r="D46" s="10"/>
    </row>
    <row r="47" spans="1:17" x14ac:dyDescent="0.25">
      <c r="A47" t="s">
        <v>22</v>
      </c>
      <c r="C47" s="1" t="s">
        <v>21</v>
      </c>
      <c r="D47" s="1" t="s">
        <v>23</v>
      </c>
      <c r="E47" s="1" t="s">
        <v>23</v>
      </c>
      <c r="F47" s="10">
        <v>2</v>
      </c>
      <c r="G47" s="10" t="s">
        <v>25</v>
      </c>
      <c r="H47" s="10">
        <v>1</v>
      </c>
      <c r="I47" s="10">
        <v>2</v>
      </c>
      <c r="J47" s="10">
        <v>1</v>
      </c>
      <c r="Q47" s="6" t="s">
        <v>63</v>
      </c>
    </row>
    <row r="48" spans="1:17" x14ac:dyDescent="0.25">
      <c r="A48" t="s">
        <v>22</v>
      </c>
      <c r="B48" s="10" t="s">
        <v>110</v>
      </c>
      <c r="C48" s="1" t="s">
        <v>21</v>
      </c>
      <c r="D48" s="1" t="s">
        <v>23</v>
      </c>
      <c r="E48" s="1" t="s">
        <v>23</v>
      </c>
      <c r="F48" s="10">
        <v>38</v>
      </c>
      <c r="G48" s="10" t="s">
        <v>42</v>
      </c>
      <c r="H48" s="10">
        <v>180</v>
      </c>
      <c r="I48" s="10">
        <v>1</v>
      </c>
      <c r="J48" s="10" t="s">
        <v>52</v>
      </c>
      <c r="K48" s="11">
        <v>51200</v>
      </c>
      <c r="L48" s="10">
        <f t="shared" ref="L48" si="17">1/K48</f>
        <v>1.953125E-5</v>
      </c>
      <c r="M48" s="10">
        <v>348</v>
      </c>
      <c r="N48" s="10">
        <f t="shared" ref="N48" si="18">M48*L48</f>
        <v>6.796875E-3</v>
      </c>
      <c r="O48" s="19">
        <f t="shared" si="2"/>
        <v>203.90625</v>
      </c>
      <c r="P48" s="10" t="s">
        <v>79</v>
      </c>
    </row>
    <row r="49" spans="1:27" x14ac:dyDescent="0.25">
      <c r="C49" s="10"/>
      <c r="D49" s="10"/>
    </row>
    <row r="50" spans="1:27" x14ac:dyDescent="0.25">
      <c r="A50" t="s">
        <v>26</v>
      </c>
      <c r="C50" s="1" t="s">
        <v>21</v>
      </c>
      <c r="D50" s="10" t="s">
        <v>18</v>
      </c>
      <c r="E50" s="1" t="s">
        <v>21</v>
      </c>
      <c r="F50" s="10">
        <v>2</v>
      </c>
      <c r="G50" s="10" t="s">
        <v>25</v>
      </c>
      <c r="H50" s="10">
        <v>1</v>
      </c>
      <c r="I50" s="10">
        <v>2</v>
      </c>
      <c r="J50" s="10">
        <v>1</v>
      </c>
      <c r="Q50" s="6" t="s">
        <v>63</v>
      </c>
    </row>
    <row r="51" spans="1:27" x14ac:dyDescent="0.25">
      <c r="A51" t="s">
        <v>26</v>
      </c>
      <c r="B51" s="10" t="s">
        <v>111</v>
      </c>
      <c r="C51" s="1" t="s">
        <v>21</v>
      </c>
      <c r="D51" s="10" t="s">
        <v>18</v>
      </c>
      <c r="E51" s="1" t="s">
        <v>21</v>
      </c>
      <c r="F51" s="10">
        <v>11</v>
      </c>
      <c r="G51" s="10" t="s">
        <v>42</v>
      </c>
      <c r="H51" s="10">
        <v>30</v>
      </c>
      <c r="I51" s="10">
        <v>1</v>
      </c>
      <c r="J51" s="10" t="s">
        <v>49</v>
      </c>
      <c r="K51" s="11">
        <v>3200</v>
      </c>
      <c r="L51" s="10">
        <f t="shared" ref="L51:L52" si="19">1/K51</f>
        <v>3.1250000000000001E-4</v>
      </c>
      <c r="M51" s="10">
        <v>265</v>
      </c>
      <c r="N51" s="10">
        <f t="shared" ref="N51:N52" si="20">M51*L51</f>
        <v>8.2812499999999997E-2</v>
      </c>
      <c r="O51" s="17">
        <f t="shared" si="2"/>
        <v>2484.375</v>
      </c>
      <c r="P51" s="10" t="s">
        <v>79</v>
      </c>
    </row>
    <row r="52" spans="1:27" x14ac:dyDescent="0.25">
      <c r="A52" t="s">
        <v>26</v>
      </c>
      <c r="B52" s="10" t="s">
        <v>113</v>
      </c>
      <c r="C52" s="1" t="s">
        <v>21</v>
      </c>
      <c r="D52" s="10" t="s">
        <v>18</v>
      </c>
      <c r="E52" s="1" t="s">
        <v>21</v>
      </c>
      <c r="F52" s="10">
        <v>13</v>
      </c>
      <c r="G52" s="10" t="s">
        <v>42</v>
      </c>
      <c r="H52" s="10">
        <v>30</v>
      </c>
      <c r="I52" s="10">
        <v>1</v>
      </c>
      <c r="J52" s="10" t="s">
        <v>49</v>
      </c>
      <c r="K52" s="11">
        <v>3200</v>
      </c>
      <c r="L52" s="10">
        <f t="shared" si="19"/>
        <v>3.1250000000000001E-4</v>
      </c>
      <c r="M52" s="10">
        <v>265</v>
      </c>
      <c r="N52" s="10">
        <f t="shared" si="20"/>
        <v>8.2812499999999997E-2</v>
      </c>
      <c r="O52" s="17">
        <f t="shared" si="2"/>
        <v>2484.375</v>
      </c>
      <c r="P52" s="10" t="s">
        <v>79</v>
      </c>
    </row>
    <row r="53" spans="1:27" x14ac:dyDescent="0.25">
      <c r="C53" s="10"/>
      <c r="D53" s="10"/>
      <c r="J53" s="10" t="s">
        <v>24</v>
      </c>
    </row>
    <row r="54" spans="1:27" x14ac:dyDescent="0.25">
      <c r="A54" t="s">
        <v>27</v>
      </c>
      <c r="C54" s="10" t="s">
        <v>18</v>
      </c>
      <c r="D54" s="10" t="s">
        <v>2</v>
      </c>
      <c r="E54" s="10" t="s">
        <v>18</v>
      </c>
      <c r="F54" s="10">
        <v>2</v>
      </c>
      <c r="G54" s="10" t="s">
        <v>25</v>
      </c>
      <c r="H54" s="10">
        <v>1</v>
      </c>
      <c r="I54" s="10">
        <v>2</v>
      </c>
      <c r="J54" s="10">
        <v>1</v>
      </c>
      <c r="Q54" s="6" t="s">
        <v>63</v>
      </c>
    </row>
    <row r="55" spans="1:27" x14ac:dyDescent="0.25">
      <c r="A55" t="s">
        <v>27</v>
      </c>
      <c r="B55" s="10" t="s">
        <v>112</v>
      </c>
      <c r="C55" s="10" t="s">
        <v>18</v>
      </c>
      <c r="D55" s="10" t="s">
        <v>2</v>
      </c>
      <c r="E55" s="10" t="s">
        <v>18</v>
      </c>
      <c r="F55" s="10">
        <v>11</v>
      </c>
      <c r="G55" s="10" t="s">
        <v>42</v>
      </c>
      <c r="H55" s="10">
        <v>10</v>
      </c>
      <c r="I55" s="10">
        <v>1</v>
      </c>
      <c r="J55" s="10" t="s">
        <v>50</v>
      </c>
      <c r="K55" s="11">
        <v>200</v>
      </c>
      <c r="L55" s="10">
        <f t="shared" ref="L55:L56" si="21">1/K55</f>
        <v>5.0000000000000001E-3</v>
      </c>
      <c r="M55" s="10">
        <v>30</v>
      </c>
      <c r="N55" s="10">
        <f t="shared" ref="N55:N56" si="22">M55*L55</f>
        <v>0.15</v>
      </c>
      <c r="O55" s="15">
        <f t="shared" si="2"/>
        <v>4500</v>
      </c>
      <c r="P55" s="10" t="s">
        <v>79</v>
      </c>
      <c r="AA55" t="s">
        <v>24</v>
      </c>
    </row>
    <row r="56" spans="1:27" x14ac:dyDescent="0.25">
      <c r="A56" t="s">
        <v>27</v>
      </c>
      <c r="B56" s="10" t="s">
        <v>114</v>
      </c>
      <c r="C56" s="10" t="s">
        <v>18</v>
      </c>
      <c r="D56" s="10" t="s">
        <v>2</v>
      </c>
      <c r="E56" s="10" t="s">
        <v>18</v>
      </c>
      <c r="F56" s="10">
        <v>13</v>
      </c>
      <c r="G56" s="10" t="s">
        <v>42</v>
      </c>
      <c r="H56" s="10">
        <v>10</v>
      </c>
      <c r="I56" s="10">
        <v>1</v>
      </c>
      <c r="J56" s="10" t="s">
        <v>50</v>
      </c>
      <c r="K56" s="11">
        <v>200</v>
      </c>
      <c r="L56" s="10">
        <f t="shared" si="21"/>
        <v>5.0000000000000001E-3</v>
      </c>
      <c r="M56" s="10">
        <v>30</v>
      </c>
      <c r="N56" s="10">
        <f t="shared" si="22"/>
        <v>0.15</v>
      </c>
      <c r="O56" s="15">
        <f t="shared" si="2"/>
        <v>4500</v>
      </c>
      <c r="P56" s="10" t="s">
        <v>79</v>
      </c>
    </row>
    <row r="57" spans="1:27" x14ac:dyDescent="0.25">
      <c r="C57" s="10"/>
      <c r="D57" s="10"/>
    </row>
    <row r="58" spans="1:27" x14ac:dyDescent="0.25">
      <c r="A58" t="s">
        <v>30</v>
      </c>
      <c r="C58" s="10" t="s">
        <v>2</v>
      </c>
      <c r="D58" s="10" t="s">
        <v>1</v>
      </c>
      <c r="E58" s="10" t="s">
        <v>2</v>
      </c>
      <c r="F58" s="10">
        <v>30</v>
      </c>
      <c r="G58" s="10" t="s">
        <v>25</v>
      </c>
      <c r="H58" s="10">
        <v>82</v>
      </c>
      <c r="I58" s="10">
        <v>5</v>
      </c>
      <c r="J58" s="10">
        <v>1</v>
      </c>
      <c r="Q58" s="6" t="s">
        <v>64</v>
      </c>
    </row>
    <row r="59" spans="1:27" x14ac:dyDescent="0.25">
      <c r="A59" t="s">
        <v>30</v>
      </c>
      <c r="B59" s="10" t="s">
        <v>115</v>
      </c>
      <c r="C59" s="10" t="s">
        <v>2</v>
      </c>
      <c r="D59" s="10" t="s">
        <v>1</v>
      </c>
      <c r="E59" s="10" t="s">
        <v>1</v>
      </c>
      <c r="F59" s="10">
        <v>13</v>
      </c>
      <c r="G59" s="10" t="s">
        <v>42</v>
      </c>
      <c r="H59" s="10">
        <v>10</v>
      </c>
      <c r="I59" s="10">
        <v>1</v>
      </c>
      <c r="J59" s="10" t="s">
        <v>50</v>
      </c>
      <c r="K59" s="11">
        <v>200</v>
      </c>
      <c r="L59" s="10">
        <f t="shared" ref="L59:L64" si="23">1/K59</f>
        <v>5.0000000000000001E-3</v>
      </c>
      <c r="M59" s="10">
        <v>165</v>
      </c>
      <c r="N59" s="10">
        <f t="shared" ref="N59:N64" si="24">M59*L59</f>
        <v>0.82500000000000007</v>
      </c>
      <c r="O59" s="15">
        <f t="shared" si="2"/>
        <v>24750.000000000004</v>
      </c>
      <c r="P59" s="10" t="s">
        <v>78</v>
      </c>
      <c r="Q59" s="8" t="s">
        <v>41</v>
      </c>
    </row>
    <row r="60" spans="1:27" x14ac:dyDescent="0.25">
      <c r="A60" t="s">
        <v>30</v>
      </c>
      <c r="B60" s="10" t="s">
        <v>116</v>
      </c>
      <c r="C60" s="10" t="s">
        <v>2</v>
      </c>
      <c r="D60" s="10" t="s">
        <v>1</v>
      </c>
      <c r="E60" s="10" t="s">
        <v>1</v>
      </c>
      <c r="F60" s="10" t="s">
        <v>48</v>
      </c>
      <c r="G60" s="10" t="s">
        <v>42</v>
      </c>
      <c r="H60" s="10">
        <v>1</v>
      </c>
      <c r="I60" s="10">
        <v>1</v>
      </c>
      <c r="J60" s="10">
        <v>1</v>
      </c>
      <c r="K60" s="11">
        <v>165</v>
      </c>
      <c r="L60" s="10">
        <f t="shared" si="23"/>
        <v>6.0606060606060606E-3</v>
      </c>
      <c r="M60" s="10">
        <v>165</v>
      </c>
      <c r="N60" s="10">
        <f t="shared" si="24"/>
        <v>1</v>
      </c>
      <c r="O60" s="15">
        <f t="shared" si="2"/>
        <v>30000</v>
      </c>
      <c r="P60" s="10" t="s">
        <v>78</v>
      </c>
      <c r="Q60" s="8" t="s">
        <v>41</v>
      </c>
    </row>
    <row r="61" spans="1:27" x14ac:dyDescent="0.25">
      <c r="A61" t="s">
        <v>30</v>
      </c>
      <c r="B61" s="10" t="s">
        <v>117</v>
      </c>
      <c r="C61" s="10" t="s">
        <v>2</v>
      </c>
      <c r="D61" s="10" t="s">
        <v>1</v>
      </c>
      <c r="E61" s="10" t="s">
        <v>1</v>
      </c>
      <c r="F61" s="10">
        <v>40</v>
      </c>
      <c r="G61" s="10" t="s">
        <v>42</v>
      </c>
      <c r="H61" s="10">
        <v>10</v>
      </c>
      <c r="I61" s="10">
        <v>1</v>
      </c>
      <c r="J61" s="10">
        <v>1</v>
      </c>
      <c r="K61" s="11">
        <v>165</v>
      </c>
      <c r="L61" s="10">
        <f t="shared" si="23"/>
        <v>6.0606060606060606E-3</v>
      </c>
      <c r="M61" s="10">
        <v>165</v>
      </c>
      <c r="N61" s="10">
        <f t="shared" si="24"/>
        <v>1</v>
      </c>
      <c r="O61" s="15">
        <f t="shared" si="2"/>
        <v>30000</v>
      </c>
      <c r="P61" s="10" t="s">
        <v>78</v>
      </c>
      <c r="Q61" s="8" t="s">
        <v>41</v>
      </c>
    </row>
    <row r="62" spans="1:27" x14ac:dyDescent="0.25">
      <c r="A62" t="s">
        <v>30</v>
      </c>
      <c r="B62" s="10" t="s">
        <v>118</v>
      </c>
      <c r="C62" s="10" t="s">
        <v>2</v>
      </c>
      <c r="D62" s="10" t="s">
        <v>1</v>
      </c>
      <c r="E62" s="10" t="s">
        <v>1</v>
      </c>
      <c r="F62" s="10" t="s">
        <v>46</v>
      </c>
      <c r="G62" s="10" t="s">
        <v>42</v>
      </c>
      <c r="H62" s="10">
        <v>1</v>
      </c>
      <c r="I62" s="10">
        <v>1</v>
      </c>
      <c r="J62" s="10" t="s">
        <v>54</v>
      </c>
      <c r="K62" s="11">
        <v>3200</v>
      </c>
      <c r="L62" s="10">
        <f t="shared" si="23"/>
        <v>3.1250000000000001E-4</v>
      </c>
      <c r="M62" s="10">
        <v>165</v>
      </c>
      <c r="N62" s="10">
        <f t="shared" si="24"/>
        <v>5.1562500000000004E-2</v>
      </c>
      <c r="O62" s="17">
        <f t="shared" si="2"/>
        <v>1546.8750000000002</v>
      </c>
      <c r="P62" s="10" t="s">
        <v>78</v>
      </c>
      <c r="Q62" s="8" t="s">
        <v>41</v>
      </c>
    </row>
    <row r="63" spans="1:27" x14ac:dyDescent="0.25">
      <c r="A63" t="s">
        <v>30</v>
      </c>
      <c r="B63" s="10" t="s">
        <v>119</v>
      </c>
      <c r="C63" s="10" t="s">
        <v>2</v>
      </c>
      <c r="D63" s="10" t="s">
        <v>1</v>
      </c>
      <c r="E63" s="10" t="s">
        <v>1</v>
      </c>
      <c r="F63" s="10" t="s">
        <v>40</v>
      </c>
      <c r="G63" s="10" t="s">
        <v>42</v>
      </c>
      <c r="H63" s="10">
        <v>1</v>
      </c>
      <c r="I63" s="10">
        <v>1</v>
      </c>
      <c r="J63" s="10" t="s">
        <v>54</v>
      </c>
      <c r="K63" s="11">
        <v>3200</v>
      </c>
      <c r="L63" s="10">
        <f t="shared" si="23"/>
        <v>3.1250000000000001E-4</v>
      </c>
      <c r="M63" s="10">
        <v>165</v>
      </c>
      <c r="N63" s="10">
        <f t="shared" si="24"/>
        <v>5.1562500000000004E-2</v>
      </c>
      <c r="O63" s="17">
        <f t="shared" si="2"/>
        <v>1546.8750000000002</v>
      </c>
      <c r="P63" s="10" t="s">
        <v>78</v>
      </c>
      <c r="Q63" s="8" t="s">
        <v>41</v>
      </c>
    </row>
    <row r="64" spans="1:27" x14ac:dyDescent="0.25">
      <c r="A64" t="s">
        <v>30</v>
      </c>
      <c r="B64" s="10" t="s">
        <v>120</v>
      </c>
      <c r="C64" s="10" t="s">
        <v>2</v>
      </c>
      <c r="D64" s="10" t="s">
        <v>1</v>
      </c>
      <c r="E64" s="10" t="s">
        <v>1</v>
      </c>
      <c r="F64" s="10" t="s">
        <v>47</v>
      </c>
      <c r="G64" s="10" t="s">
        <v>42</v>
      </c>
      <c r="H64" s="10">
        <v>1</v>
      </c>
      <c r="I64" s="10">
        <v>1</v>
      </c>
      <c r="J64" s="10" t="s">
        <v>53</v>
      </c>
      <c r="K64" s="11">
        <v>800</v>
      </c>
      <c r="L64" s="10">
        <f t="shared" si="23"/>
        <v>1.25E-3</v>
      </c>
      <c r="M64" s="10">
        <v>165</v>
      </c>
      <c r="N64" s="10">
        <f t="shared" si="24"/>
        <v>0.20625000000000002</v>
      </c>
      <c r="O64" s="15">
        <f t="shared" si="2"/>
        <v>6187.5000000000009</v>
      </c>
      <c r="P64" s="10" t="s">
        <v>78</v>
      </c>
      <c r="Q64" s="8" t="s">
        <v>41</v>
      </c>
    </row>
    <row r="65" spans="1:17" x14ac:dyDescent="0.25">
      <c r="C65" s="10"/>
      <c r="D65" s="10"/>
      <c r="E65" s="10"/>
    </row>
    <row r="66" spans="1:17" x14ac:dyDescent="0.25">
      <c r="C66" s="10"/>
      <c r="D66" s="10"/>
    </row>
    <row r="67" spans="1:17" x14ac:dyDescent="0.25">
      <c r="A67" t="s">
        <v>31</v>
      </c>
      <c r="C67" s="10" t="s">
        <v>1</v>
      </c>
      <c r="D67" s="10" t="s">
        <v>3</v>
      </c>
      <c r="E67" s="10" t="s">
        <v>2</v>
      </c>
      <c r="F67" s="10">
        <v>30</v>
      </c>
      <c r="G67" s="10" t="s">
        <v>25</v>
      </c>
      <c r="H67" s="10">
        <v>55</v>
      </c>
      <c r="I67" s="10">
        <v>5</v>
      </c>
      <c r="J67" s="10">
        <v>1</v>
      </c>
      <c r="Q67" s="6" t="s">
        <v>64</v>
      </c>
    </row>
    <row r="68" spans="1:17" x14ac:dyDescent="0.25">
      <c r="A68" t="s">
        <v>31</v>
      </c>
      <c r="B68" s="10" t="s">
        <v>121</v>
      </c>
      <c r="C68" s="10" t="s">
        <v>1</v>
      </c>
      <c r="D68" s="10" t="s">
        <v>3</v>
      </c>
      <c r="E68" s="10" t="s">
        <v>1</v>
      </c>
      <c r="F68" s="10" t="s">
        <v>9</v>
      </c>
      <c r="G68" s="10" t="s">
        <v>42</v>
      </c>
      <c r="H68" s="10">
        <v>255</v>
      </c>
      <c r="I68" s="10">
        <v>1</v>
      </c>
      <c r="J68" s="10" t="s">
        <v>51</v>
      </c>
      <c r="K68" s="11">
        <v>12800</v>
      </c>
      <c r="L68" s="10">
        <f t="shared" ref="L68:L72" si="25">1/K68</f>
        <v>7.8125000000000002E-5</v>
      </c>
      <c r="M68" s="10">
        <v>110</v>
      </c>
      <c r="N68" s="10">
        <f t="shared" ref="N68:N72" si="26">M68*L68</f>
        <v>8.5937500000000007E-3</v>
      </c>
      <c r="O68" s="16">
        <f>O$2*N68/10</f>
        <v>25.78125</v>
      </c>
      <c r="P68" s="10" t="s">
        <v>78</v>
      </c>
    </row>
    <row r="69" spans="1:17" x14ac:dyDescent="0.25">
      <c r="A69" t="s">
        <v>31</v>
      </c>
      <c r="B69" s="10" t="s">
        <v>122</v>
      </c>
      <c r="C69" s="10" t="s">
        <v>1</v>
      </c>
      <c r="D69" s="10" t="s">
        <v>3</v>
      </c>
      <c r="E69" s="10" t="s">
        <v>1</v>
      </c>
      <c r="F69" s="10" t="s">
        <v>9</v>
      </c>
      <c r="G69" s="10" t="s">
        <v>42</v>
      </c>
      <c r="H69" s="10">
        <v>255</v>
      </c>
      <c r="I69" s="10">
        <v>1</v>
      </c>
      <c r="J69" s="10" t="s">
        <v>51</v>
      </c>
      <c r="K69" s="11">
        <v>12800</v>
      </c>
      <c r="L69" s="10">
        <f t="shared" si="25"/>
        <v>7.8125000000000002E-5</v>
      </c>
      <c r="M69" s="10">
        <v>110</v>
      </c>
      <c r="N69" s="10">
        <f t="shared" si="26"/>
        <v>8.5937500000000007E-3</v>
      </c>
      <c r="O69" s="16">
        <f>O$2*N69/10</f>
        <v>25.78125</v>
      </c>
      <c r="P69" s="10" t="s">
        <v>78</v>
      </c>
    </row>
    <row r="70" spans="1:17" x14ac:dyDescent="0.25">
      <c r="A70" t="s">
        <v>31</v>
      </c>
      <c r="B70" s="10" t="s">
        <v>123</v>
      </c>
      <c r="C70" s="10" t="s">
        <v>1</v>
      </c>
      <c r="D70" s="10" t="s">
        <v>3</v>
      </c>
      <c r="E70" s="10" t="s">
        <v>1</v>
      </c>
      <c r="F70" s="10" t="s">
        <v>40</v>
      </c>
      <c r="G70" s="10" t="s">
        <v>42</v>
      </c>
      <c r="H70" s="10">
        <v>30</v>
      </c>
      <c r="I70" s="10">
        <v>1</v>
      </c>
      <c r="J70" s="10" t="s">
        <v>51</v>
      </c>
      <c r="K70" s="11">
        <v>12800</v>
      </c>
      <c r="L70" s="10">
        <f t="shared" si="25"/>
        <v>7.8125000000000002E-5</v>
      </c>
      <c r="M70" s="10">
        <v>110</v>
      </c>
      <c r="N70" s="10">
        <f t="shared" si="26"/>
        <v>8.5937500000000007E-3</v>
      </c>
      <c r="O70" s="19">
        <f t="shared" ref="O70:O76" si="27">O$2*N70</f>
        <v>257.8125</v>
      </c>
      <c r="P70" s="10" t="s">
        <v>78</v>
      </c>
      <c r="Q70" s="12" t="s">
        <v>43</v>
      </c>
    </row>
    <row r="71" spans="1:17" x14ac:dyDescent="0.25">
      <c r="A71" t="s">
        <v>31</v>
      </c>
      <c r="B71" s="10" t="s">
        <v>124</v>
      </c>
      <c r="C71" s="10" t="s">
        <v>1</v>
      </c>
      <c r="D71" s="10" t="s">
        <v>3</v>
      </c>
      <c r="E71" s="10" t="s">
        <v>1</v>
      </c>
      <c r="F71" s="10">
        <v>40</v>
      </c>
      <c r="G71" s="10" t="s">
        <v>42</v>
      </c>
      <c r="H71" s="10">
        <v>10</v>
      </c>
      <c r="I71" s="10">
        <v>1</v>
      </c>
      <c r="J71" s="10" t="s">
        <v>51</v>
      </c>
      <c r="K71" s="11">
        <v>12800</v>
      </c>
      <c r="L71" s="10">
        <f t="shared" si="25"/>
        <v>7.8125000000000002E-5</v>
      </c>
      <c r="M71" s="10">
        <v>110</v>
      </c>
      <c r="N71" s="10">
        <f t="shared" si="26"/>
        <v>8.5937500000000007E-3</v>
      </c>
      <c r="O71" s="19">
        <f t="shared" si="27"/>
        <v>257.8125</v>
      </c>
      <c r="P71" s="10" t="s">
        <v>78</v>
      </c>
      <c r="Q71" s="12" t="s">
        <v>45</v>
      </c>
    </row>
    <row r="72" spans="1:17" x14ac:dyDescent="0.25">
      <c r="A72" t="s">
        <v>31</v>
      </c>
      <c r="B72" s="10" t="s">
        <v>125</v>
      </c>
      <c r="C72" s="10" t="s">
        <v>1</v>
      </c>
      <c r="D72" s="10" t="s">
        <v>3</v>
      </c>
      <c r="E72" s="10" t="s">
        <v>1</v>
      </c>
      <c r="F72" s="10">
        <v>13</v>
      </c>
      <c r="G72" s="10" t="s">
        <v>42</v>
      </c>
      <c r="H72" s="10">
        <v>20</v>
      </c>
      <c r="I72" s="10">
        <v>1</v>
      </c>
      <c r="J72" s="10" t="s">
        <v>51</v>
      </c>
      <c r="K72" s="11">
        <v>12800</v>
      </c>
      <c r="L72" s="10">
        <f t="shared" si="25"/>
        <v>7.8125000000000002E-5</v>
      </c>
      <c r="M72" s="10">
        <v>110</v>
      </c>
      <c r="N72" s="10">
        <f t="shared" si="26"/>
        <v>8.5937500000000007E-3</v>
      </c>
      <c r="O72" s="19">
        <f t="shared" si="27"/>
        <v>257.8125</v>
      </c>
      <c r="P72" s="10" t="s">
        <v>78</v>
      </c>
      <c r="Q72" s="12" t="s">
        <v>44</v>
      </c>
    </row>
    <row r="73" spans="1:17" x14ac:dyDescent="0.25">
      <c r="C73" s="10"/>
      <c r="D73" s="10"/>
      <c r="G73" s="10" t="s">
        <v>42</v>
      </c>
    </row>
    <row r="74" spans="1:17" x14ac:dyDescent="0.25">
      <c r="A74" t="s">
        <v>32</v>
      </c>
      <c r="C74" s="10" t="s">
        <v>21</v>
      </c>
      <c r="D74" s="10" t="s">
        <v>23</v>
      </c>
      <c r="E74" s="10" t="s">
        <v>21</v>
      </c>
      <c r="F74" s="10">
        <v>2</v>
      </c>
      <c r="G74" s="10" t="s">
        <v>25</v>
      </c>
      <c r="H74" s="10">
        <v>1</v>
      </c>
      <c r="I74" s="10">
        <v>5</v>
      </c>
      <c r="J74" s="10">
        <v>1</v>
      </c>
      <c r="Q74" s="6" t="s">
        <v>63</v>
      </c>
    </row>
    <row r="75" spans="1:17" x14ac:dyDescent="0.25">
      <c r="A75" t="s">
        <v>32</v>
      </c>
      <c r="B75" s="10" t="s">
        <v>126</v>
      </c>
      <c r="C75" s="10" t="s">
        <v>21</v>
      </c>
      <c r="D75" s="10" t="s">
        <v>23</v>
      </c>
      <c r="E75" s="10" t="s">
        <v>23</v>
      </c>
      <c r="F75" s="10">
        <v>11</v>
      </c>
      <c r="G75" s="10" t="s">
        <v>42</v>
      </c>
      <c r="H75" s="10">
        <v>200</v>
      </c>
      <c r="I75" s="10">
        <v>1</v>
      </c>
      <c r="J75" s="10" t="s">
        <v>51</v>
      </c>
      <c r="K75" s="11">
        <v>12800</v>
      </c>
      <c r="L75" s="10">
        <f t="shared" ref="L75:L76" si="28">1/K75</f>
        <v>7.8125000000000002E-5</v>
      </c>
      <c r="M75" s="10">
        <v>348</v>
      </c>
      <c r="N75" s="10">
        <f t="shared" ref="N75:N76" si="29">M75*L75</f>
        <v>2.71875E-2</v>
      </c>
      <c r="O75" s="18">
        <f t="shared" si="27"/>
        <v>815.625</v>
      </c>
      <c r="P75" s="10" t="s">
        <v>79</v>
      </c>
    </row>
    <row r="76" spans="1:17" x14ac:dyDescent="0.25">
      <c r="A76" t="s">
        <v>32</v>
      </c>
      <c r="B76" s="10" t="s">
        <v>127</v>
      </c>
      <c r="C76" s="10" t="s">
        <v>21</v>
      </c>
      <c r="D76" s="10" t="s">
        <v>23</v>
      </c>
      <c r="E76" s="10" t="s">
        <v>23</v>
      </c>
      <c r="F76" s="10">
        <v>13</v>
      </c>
      <c r="G76" s="10" t="s">
        <v>42</v>
      </c>
      <c r="H76" s="10">
        <v>350</v>
      </c>
      <c r="I76" s="10">
        <v>1</v>
      </c>
      <c r="J76" s="10" t="s">
        <v>60</v>
      </c>
      <c r="K76" s="11">
        <v>51200</v>
      </c>
      <c r="L76" s="10">
        <f t="shared" si="28"/>
        <v>1.953125E-5</v>
      </c>
      <c r="M76" s="10">
        <v>348</v>
      </c>
      <c r="N76" s="10">
        <f t="shared" si="29"/>
        <v>6.796875E-3</v>
      </c>
      <c r="O76" s="19">
        <f t="shared" si="27"/>
        <v>203.90625</v>
      </c>
      <c r="P76" s="10" t="s">
        <v>79</v>
      </c>
    </row>
    <row r="77" spans="1:17" x14ac:dyDescent="0.25">
      <c r="F77" s="1"/>
      <c r="O77" s="1"/>
    </row>
    <row r="78" spans="1:17" x14ac:dyDescent="0.25">
      <c r="O78" s="1"/>
    </row>
    <row r="79" spans="1:17" x14ac:dyDescent="0.25">
      <c r="O79" s="1"/>
    </row>
    <row r="80" spans="1:17" x14ac:dyDescent="0.25">
      <c r="O80" s="1"/>
    </row>
    <row r="81" spans="6:15" x14ac:dyDescent="0.25">
      <c r="O81" s="1"/>
    </row>
    <row r="85" spans="6:15" x14ac:dyDescent="0.25">
      <c r="F85" s="10">
        <f>27*3*3</f>
        <v>243</v>
      </c>
    </row>
    <row r="110" spans="5:17" x14ac:dyDescent="0.25">
      <c r="E110" s="2"/>
      <c r="F110" s="11"/>
      <c r="G110" s="11"/>
      <c r="H110" s="11"/>
      <c r="I110" s="11"/>
      <c r="J110" s="11"/>
      <c r="K110" s="11"/>
      <c r="L110" s="11"/>
      <c r="M110" s="11"/>
      <c r="N110" s="11"/>
      <c r="Q110" s="3"/>
    </row>
    <row r="116" spans="5:18" x14ac:dyDescent="0.25">
      <c r="E116" s="2"/>
      <c r="F116" s="11"/>
      <c r="G116" s="11"/>
      <c r="H116" s="11"/>
      <c r="I116" s="11"/>
      <c r="J116" s="11"/>
      <c r="K116" s="11"/>
      <c r="L116" s="11"/>
      <c r="M116" s="11"/>
      <c r="N116" s="11"/>
      <c r="Q116" s="3"/>
      <c r="R116" s="4"/>
    </row>
    <row r="118" spans="5:18" x14ac:dyDescent="0.25">
      <c r="E118" s="2"/>
      <c r="F118" s="11"/>
      <c r="G118" s="11"/>
      <c r="H118" s="11"/>
      <c r="I118" s="11"/>
      <c r="J118" s="11"/>
      <c r="K118" s="11"/>
      <c r="L118" s="11"/>
      <c r="M118" s="11"/>
      <c r="N118" s="11"/>
      <c r="Q118" s="3"/>
      <c r="R118" s="4"/>
    </row>
    <row r="120" spans="5:18" x14ac:dyDescent="0.25">
      <c r="E120" s="2"/>
      <c r="F120" s="11"/>
      <c r="G120" s="11"/>
      <c r="H120" s="11"/>
      <c r="I120" s="11"/>
      <c r="J120" s="11"/>
      <c r="K120" s="11"/>
      <c r="L120" s="11"/>
      <c r="M120" s="11"/>
      <c r="N120" s="11"/>
      <c r="Q120" s="3"/>
      <c r="R120" s="4"/>
    </row>
    <row r="121" spans="5:18" x14ac:dyDescent="0.25">
      <c r="E121" s="2"/>
      <c r="F121" s="11"/>
      <c r="G121" s="11"/>
      <c r="H121" s="11"/>
      <c r="I121" s="11"/>
      <c r="J121" s="11"/>
      <c r="K121" s="11"/>
      <c r="L121" s="11"/>
      <c r="M121" s="11"/>
      <c r="N121" s="11"/>
      <c r="Q121" s="3"/>
      <c r="R121" s="4"/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D025F-8A88-450C-B761-F33229A6E770}">
  <dimension ref="B2:G13"/>
  <sheetViews>
    <sheetView workbookViewId="0">
      <selection activeCell="F18" sqref="F18"/>
    </sheetView>
  </sheetViews>
  <sheetFormatPr baseColWidth="10" defaultRowHeight="15" x14ac:dyDescent="0.25"/>
  <cols>
    <col min="2" max="2" width="13.5703125" customWidth="1"/>
  </cols>
  <sheetData>
    <row r="2" spans="2:7" ht="18.75" x14ac:dyDescent="0.3">
      <c r="B2" s="13" t="s">
        <v>70</v>
      </c>
    </row>
    <row r="3" spans="2:7" ht="18.75" x14ac:dyDescent="0.3">
      <c r="B3" s="13"/>
    </row>
    <row r="4" spans="2:7" ht="18.75" x14ac:dyDescent="0.3">
      <c r="B4" s="13" t="s">
        <v>73</v>
      </c>
    </row>
    <row r="5" spans="2:7" ht="18.75" x14ac:dyDescent="0.3">
      <c r="B5" s="13" t="s">
        <v>74</v>
      </c>
    </row>
    <row r="7" spans="2:7" x14ac:dyDescent="0.25">
      <c r="B7" s="6" t="s">
        <v>71</v>
      </c>
      <c r="C7" s="6" t="s">
        <v>72</v>
      </c>
      <c r="D7" s="9" t="s">
        <v>66</v>
      </c>
      <c r="E7" s="9" t="s">
        <v>68</v>
      </c>
      <c r="F7" s="9" t="s">
        <v>69</v>
      </c>
      <c r="G7">
        <v>4</v>
      </c>
    </row>
    <row r="8" spans="2:7" x14ac:dyDescent="0.25">
      <c r="B8" s="20" t="s">
        <v>132</v>
      </c>
      <c r="C8" s="20"/>
      <c r="D8" s="21"/>
      <c r="E8" s="21"/>
      <c r="F8" s="21">
        <v>1</v>
      </c>
      <c r="G8" s="20"/>
    </row>
    <row r="9" spans="2:7" x14ac:dyDescent="0.25">
      <c r="B9" s="14" t="s">
        <v>50</v>
      </c>
      <c r="C9" s="11">
        <v>200</v>
      </c>
      <c r="D9" s="10">
        <f t="shared" ref="D9:D13" si="0">1/C9</f>
        <v>5.0000000000000001E-3</v>
      </c>
      <c r="E9" s="10">
        <v>100</v>
      </c>
      <c r="F9" s="10">
        <f t="shared" ref="F9" si="1">E9*D9</f>
        <v>0.5</v>
      </c>
      <c r="G9">
        <v>200</v>
      </c>
    </row>
    <row r="10" spans="2:7" x14ac:dyDescent="0.25">
      <c r="B10" t="s">
        <v>53</v>
      </c>
      <c r="C10" s="11">
        <v>800</v>
      </c>
      <c r="D10" s="10">
        <f t="shared" si="0"/>
        <v>1.25E-3</v>
      </c>
      <c r="E10" s="10">
        <v>100</v>
      </c>
      <c r="F10" s="10">
        <f t="shared" ref="F10:F13" si="2">E10*D10</f>
        <v>0.125</v>
      </c>
      <c r="G10">
        <f>G9*G$7</f>
        <v>800</v>
      </c>
    </row>
    <row r="11" spans="2:7" x14ac:dyDescent="0.25">
      <c r="B11" t="s">
        <v>54</v>
      </c>
      <c r="C11" s="11">
        <v>3200</v>
      </c>
      <c r="D11" s="10">
        <f t="shared" si="0"/>
        <v>3.1250000000000001E-4</v>
      </c>
      <c r="E11" s="10">
        <v>100</v>
      </c>
      <c r="F11" s="10">
        <f t="shared" si="2"/>
        <v>3.125E-2</v>
      </c>
      <c r="G11">
        <f>G10*G$7</f>
        <v>3200</v>
      </c>
    </row>
    <row r="12" spans="2:7" x14ac:dyDescent="0.25">
      <c r="B12" t="s">
        <v>51</v>
      </c>
      <c r="C12" s="11">
        <v>12800</v>
      </c>
      <c r="D12" s="10">
        <f t="shared" si="0"/>
        <v>7.8125000000000002E-5</v>
      </c>
      <c r="E12" s="10">
        <v>100</v>
      </c>
      <c r="F12" s="10">
        <f t="shared" si="2"/>
        <v>7.8125E-3</v>
      </c>
      <c r="G12">
        <f t="shared" ref="G12:G13" si="3">G11*G$7</f>
        <v>12800</v>
      </c>
    </row>
    <row r="13" spans="2:7" x14ac:dyDescent="0.25">
      <c r="B13" t="s">
        <v>60</v>
      </c>
      <c r="C13" s="11">
        <v>51200</v>
      </c>
      <c r="D13" s="10">
        <f t="shared" si="0"/>
        <v>1.953125E-5</v>
      </c>
      <c r="E13" s="10">
        <v>100</v>
      </c>
      <c r="F13" s="10">
        <f t="shared" si="2"/>
        <v>1.953125E-3</v>
      </c>
      <c r="G13">
        <f t="shared" si="3"/>
        <v>51200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FF1BF-9A66-48F6-A2FC-EFE86C98553E}">
  <dimension ref="B3"/>
  <sheetViews>
    <sheetView workbookViewId="0">
      <selection activeCell="B4" sqref="B4"/>
    </sheetView>
  </sheetViews>
  <sheetFormatPr baseColWidth="10" defaultRowHeight="15" x14ac:dyDescent="0.25"/>
  <sheetData>
    <row r="3" spans="2:2" x14ac:dyDescent="0.25">
      <c r="B3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Aperçu_phases</vt:lpstr>
      <vt:lpstr>Def_classes_probabilité</vt:lpstr>
      <vt:lpstr>Liste_simulations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Arnauld Malard</dc:creator>
  <cp:lastModifiedBy>Pierre-Yves</cp:lastModifiedBy>
  <dcterms:created xsi:type="dcterms:W3CDTF">2026-05-08T12:58:53Z</dcterms:created>
  <dcterms:modified xsi:type="dcterms:W3CDTF">2026-06-26T11:39:24Z</dcterms:modified>
</cp:coreProperties>
</file>