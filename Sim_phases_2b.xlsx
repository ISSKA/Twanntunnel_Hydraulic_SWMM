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rre-Yves\Documents\GitHub\Twanntunnel_Hydraulic_SWMM\"/>
    </mc:Choice>
  </mc:AlternateContent>
  <xr:revisionPtr revIDLastSave="0" documentId="8_{489C5671-4F99-4291-80E3-B014FDAF7CFB}" xr6:coauthVersionLast="36" xr6:coauthVersionMax="36" xr10:uidLastSave="{00000000-0000-0000-0000-000000000000}"/>
  <bookViews>
    <workbookView xWindow="0" yWindow="0" windowWidth="57600" windowHeight="28305" activeTab="1" xr2:uid="{6893D8AA-5E44-4927-A3DD-602CEDEFB9AF}"/>
  </bookViews>
  <sheets>
    <sheet name="Definitions" sheetId="2" r:id="rId1"/>
    <sheet name="simul_1a_1b_2a" sheetId="1" r:id="rId2"/>
  </sheets>
  <externalReferences>
    <externalReference r:id="rId3"/>
  </externalReferences>
  <definedNames>
    <definedName name="_xlchart.v1.0" hidden="1">simul_1a_1b_2a!$I$61:$I$599</definedName>
    <definedName name="_xlchart.v1.1" hidden="1">simul_1a_1b_2a!$I$61:$I$599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0" i="1" l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61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62" i="1"/>
  <c r="H598" i="1"/>
  <c r="H594" i="1"/>
  <c r="H593" i="1"/>
  <c r="H591" i="1"/>
  <c r="H588" i="1"/>
  <c r="H586" i="1"/>
  <c r="H585" i="1"/>
  <c r="H584" i="1"/>
  <c r="H583" i="1"/>
  <c r="H582" i="1"/>
  <c r="H579" i="1"/>
  <c r="H576" i="1"/>
  <c r="H572" i="1"/>
  <c r="H571" i="1"/>
  <c r="H569" i="1"/>
  <c r="H566" i="1"/>
  <c r="H564" i="1"/>
  <c r="H563" i="1"/>
  <c r="H562" i="1"/>
  <c r="H561" i="1"/>
  <c r="H560" i="1"/>
  <c r="H557" i="1"/>
  <c r="H554" i="1"/>
  <c r="H550" i="1"/>
  <c r="H549" i="1"/>
  <c r="H547" i="1"/>
  <c r="H544" i="1"/>
  <c r="H542" i="1"/>
  <c r="H541" i="1"/>
  <c r="H540" i="1"/>
  <c r="H539" i="1"/>
  <c r="H538" i="1"/>
  <c r="H535" i="1"/>
  <c r="H532" i="1"/>
  <c r="H528" i="1"/>
  <c r="H527" i="1"/>
  <c r="H525" i="1"/>
  <c r="H522" i="1"/>
  <c r="H520" i="1"/>
  <c r="H519" i="1"/>
  <c r="H518" i="1"/>
  <c r="H517" i="1"/>
  <c r="H516" i="1"/>
  <c r="H513" i="1"/>
  <c r="H510" i="1"/>
  <c r="H506" i="1"/>
  <c r="H505" i="1"/>
  <c r="H503" i="1"/>
  <c r="H500" i="1"/>
  <c r="H498" i="1"/>
  <c r="H497" i="1"/>
  <c r="H496" i="1"/>
  <c r="H495" i="1"/>
  <c r="H494" i="1"/>
  <c r="H491" i="1"/>
  <c r="H488" i="1"/>
  <c r="H484" i="1"/>
  <c r="H483" i="1"/>
  <c r="H481" i="1"/>
  <c r="H478" i="1"/>
  <c r="H476" i="1"/>
  <c r="H475" i="1"/>
  <c r="H474" i="1"/>
  <c r="H473" i="1"/>
  <c r="H472" i="1"/>
  <c r="H469" i="1"/>
  <c r="H466" i="1"/>
  <c r="H462" i="1"/>
  <c r="H461" i="1"/>
  <c r="H459" i="1"/>
  <c r="H456" i="1"/>
  <c r="H454" i="1"/>
  <c r="H453" i="1"/>
  <c r="H452" i="1"/>
  <c r="H451" i="1"/>
  <c r="H450" i="1"/>
  <c r="H447" i="1"/>
  <c r="H444" i="1"/>
  <c r="H440" i="1"/>
  <c r="H439" i="1"/>
  <c r="H437" i="1"/>
  <c r="H434" i="1"/>
  <c r="H432" i="1"/>
  <c r="H431" i="1"/>
  <c r="H430" i="1"/>
  <c r="H429" i="1"/>
  <c r="H428" i="1"/>
  <c r="H425" i="1"/>
  <c r="H422" i="1"/>
  <c r="H418" i="1"/>
  <c r="H417" i="1"/>
  <c r="H415" i="1"/>
  <c r="H412" i="1"/>
  <c r="H410" i="1"/>
  <c r="H409" i="1"/>
  <c r="H408" i="1"/>
  <c r="H407" i="1"/>
  <c r="H406" i="1"/>
  <c r="H403" i="1"/>
  <c r="H400" i="1"/>
  <c r="H396" i="1"/>
  <c r="H395" i="1"/>
  <c r="H393" i="1"/>
  <c r="H390" i="1"/>
  <c r="H388" i="1"/>
  <c r="H387" i="1"/>
  <c r="H386" i="1"/>
  <c r="H385" i="1"/>
  <c r="H384" i="1"/>
  <c r="H381" i="1"/>
  <c r="H379" i="1"/>
  <c r="H378" i="1"/>
  <c r="H374" i="1"/>
  <c r="H373" i="1"/>
  <c r="H371" i="1"/>
  <c r="H368" i="1"/>
  <c r="H366" i="1"/>
  <c r="H365" i="1"/>
  <c r="H364" i="1"/>
  <c r="H363" i="1"/>
  <c r="H362" i="1"/>
  <c r="H359" i="1"/>
  <c r="H357" i="1"/>
  <c r="H356" i="1"/>
  <c r="H352" i="1"/>
  <c r="H351" i="1"/>
  <c r="H349" i="1"/>
  <c r="H346" i="1"/>
  <c r="H344" i="1"/>
  <c r="H343" i="1"/>
  <c r="H342" i="1"/>
  <c r="H341" i="1"/>
  <c r="H340" i="1"/>
  <c r="H337" i="1"/>
  <c r="H335" i="1"/>
  <c r="H334" i="1"/>
  <c r="H330" i="1"/>
  <c r="H329" i="1"/>
  <c r="H327" i="1"/>
  <c r="H324" i="1"/>
  <c r="H322" i="1"/>
  <c r="H321" i="1"/>
  <c r="H320" i="1"/>
  <c r="H319" i="1"/>
  <c r="H318" i="1"/>
  <c r="H317" i="1"/>
  <c r="H315" i="1"/>
  <c r="H313" i="1"/>
  <c r="H312" i="1"/>
  <c r="H308" i="1"/>
  <c r="H307" i="1"/>
  <c r="H305" i="1"/>
  <c r="H302" i="1"/>
  <c r="H300" i="1"/>
  <c r="H299" i="1"/>
  <c r="H298" i="1"/>
  <c r="H297" i="1"/>
  <c r="H296" i="1"/>
  <c r="H295" i="1"/>
  <c r="H293" i="1"/>
  <c r="H291" i="1"/>
  <c r="H290" i="1"/>
  <c r="H286" i="1"/>
  <c r="H285" i="1"/>
  <c r="H283" i="1"/>
  <c r="H280" i="1"/>
  <c r="H278" i="1"/>
  <c r="H277" i="1"/>
  <c r="H276" i="1"/>
  <c r="H275" i="1"/>
  <c r="H274" i="1"/>
  <c r="H273" i="1"/>
  <c r="H271" i="1"/>
  <c r="H269" i="1"/>
  <c r="H268" i="1"/>
  <c r="H264" i="1"/>
  <c r="H263" i="1"/>
  <c r="H261" i="1"/>
  <c r="H258" i="1"/>
  <c r="H256" i="1"/>
  <c r="H255" i="1"/>
  <c r="H254" i="1"/>
  <c r="H253" i="1"/>
  <c r="H252" i="1"/>
  <c r="H251" i="1"/>
  <c r="H249" i="1"/>
  <c r="H247" i="1"/>
  <c r="H246" i="1"/>
  <c r="H242" i="1"/>
  <c r="H241" i="1"/>
  <c r="H239" i="1"/>
  <c r="H236" i="1"/>
  <c r="H234" i="1"/>
  <c r="H233" i="1"/>
  <c r="H232" i="1"/>
  <c r="H231" i="1"/>
  <c r="H230" i="1"/>
  <c r="H229" i="1"/>
  <c r="H227" i="1"/>
  <c r="H225" i="1"/>
  <c r="H224" i="1"/>
  <c r="H220" i="1"/>
  <c r="H219" i="1"/>
  <c r="H217" i="1"/>
  <c r="H214" i="1"/>
  <c r="H212" i="1"/>
  <c r="H211" i="1"/>
  <c r="H210" i="1"/>
  <c r="H209" i="1"/>
  <c r="H208" i="1"/>
  <c r="H207" i="1"/>
  <c r="H205" i="1"/>
  <c r="H203" i="1"/>
  <c r="H202" i="1"/>
  <c r="H198" i="1"/>
  <c r="H197" i="1"/>
  <c r="H195" i="1"/>
  <c r="H192" i="1"/>
  <c r="H190" i="1"/>
  <c r="H189" i="1"/>
  <c r="H188" i="1"/>
  <c r="H187" i="1"/>
  <c r="H186" i="1"/>
  <c r="H185" i="1"/>
  <c r="H183" i="1"/>
  <c r="H181" i="1"/>
  <c r="H180" i="1"/>
  <c r="H176" i="1"/>
  <c r="H175" i="1"/>
  <c r="H173" i="1"/>
  <c r="H170" i="1"/>
  <c r="H168" i="1"/>
  <c r="H167" i="1"/>
  <c r="H166" i="1"/>
  <c r="H165" i="1"/>
  <c r="H164" i="1"/>
  <c r="H163" i="1"/>
  <c r="H161" i="1"/>
  <c r="H159" i="1"/>
  <c r="H158" i="1"/>
  <c r="H154" i="1"/>
  <c r="H153" i="1"/>
  <c r="H151" i="1"/>
  <c r="H148" i="1"/>
  <c r="H146" i="1"/>
  <c r="H145" i="1"/>
  <c r="H144" i="1"/>
  <c r="H143" i="1"/>
  <c r="H142" i="1"/>
  <c r="H141" i="1"/>
  <c r="H139" i="1"/>
  <c r="H137" i="1"/>
  <c r="H136" i="1"/>
  <c r="H132" i="1"/>
  <c r="H131" i="1"/>
  <c r="H129" i="1"/>
  <c r="H126" i="1"/>
  <c r="H124" i="1"/>
  <c r="H123" i="1"/>
  <c r="H122" i="1"/>
  <c r="H121" i="1"/>
  <c r="H120" i="1"/>
  <c r="H119" i="1"/>
  <c r="H117" i="1"/>
  <c r="H115" i="1"/>
  <c r="H114" i="1"/>
  <c r="H110" i="1"/>
  <c r="H109" i="1"/>
  <c r="H107" i="1"/>
  <c r="H104" i="1"/>
  <c r="H102" i="1"/>
  <c r="H101" i="1"/>
  <c r="H100" i="1"/>
  <c r="H99" i="1"/>
  <c r="H98" i="1"/>
  <c r="H97" i="1"/>
  <c r="H95" i="1"/>
  <c r="H93" i="1"/>
  <c r="H92" i="1"/>
  <c r="H88" i="1"/>
  <c r="H87" i="1"/>
  <c r="H85" i="1"/>
  <c r="H82" i="1"/>
  <c r="H80" i="1"/>
  <c r="H79" i="1"/>
  <c r="H78" i="1"/>
  <c r="H77" i="1"/>
  <c r="H76" i="1"/>
  <c r="H75" i="1"/>
  <c r="H73" i="1"/>
  <c r="G593" i="1"/>
  <c r="G585" i="1"/>
  <c r="G573" i="1"/>
  <c r="G567" i="1"/>
  <c r="G521" i="1"/>
  <c r="G501" i="1"/>
  <c r="G445" i="1"/>
  <c r="G439" i="1"/>
  <c r="G437" i="1"/>
  <c r="G419" i="1"/>
  <c r="G417" i="1"/>
  <c r="G361" i="1"/>
  <c r="G353" i="1"/>
  <c r="G341" i="1"/>
  <c r="G291" i="1"/>
  <c r="G289" i="1"/>
  <c r="G269" i="1"/>
  <c r="G213" i="1"/>
  <c r="G207" i="1"/>
  <c r="I207" i="1" s="1"/>
  <c r="G205" i="1"/>
  <c r="G193" i="1"/>
  <c r="G187" i="1"/>
  <c r="G185" i="1"/>
  <c r="F371" i="1"/>
  <c r="F372" i="1"/>
  <c r="F391" i="1"/>
  <c r="F392" i="1"/>
  <c r="F411" i="1"/>
  <c r="F412" i="1"/>
  <c r="F431" i="1"/>
  <c r="F432" i="1"/>
  <c r="F296" i="1"/>
  <c r="F297" i="1"/>
  <c r="I297" i="1" s="1"/>
  <c r="F298" i="1"/>
  <c r="I298" i="1" s="1"/>
  <c r="F316" i="1"/>
  <c r="F317" i="1"/>
  <c r="F318" i="1"/>
  <c r="F336" i="1"/>
  <c r="F337" i="1"/>
  <c r="F338" i="1"/>
  <c r="F356" i="1"/>
  <c r="F357" i="1"/>
  <c r="F358" i="1"/>
  <c r="F221" i="1"/>
  <c r="F222" i="1"/>
  <c r="F223" i="1"/>
  <c r="F224" i="1"/>
  <c r="F241" i="1"/>
  <c r="F242" i="1"/>
  <c r="F243" i="1"/>
  <c r="F244" i="1"/>
  <c r="F261" i="1"/>
  <c r="F262" i="1"/>
  <c r="F263" i="1"/>
  <c r="F264" i="1"/>
  <c r="F280" i="1"/>
  <c r="F281" i="1"/>
  <c r="F282" i="1"/>
  <c r="F283" i="1"/>
  <c r="F284" i="1"/>
  <c r="F146" i="1"/>
  <c r="F147" i="1"/>
  <c r="F148" i="1"/>
  <c r="F149" i="1"/>
  <c r="F150" i="1"/>
  <c r="F166" i="1"/>
  <c r="F167" i="1"/>
  <c r="F168" i="1"/>
  <c r="F169" i="1"/>
  <c r="F170" i="1"/>
  <c r="F186" i="1"/>
  <c r="F187" i="1"/>
  <c r="F188" i="1"/>
  <c r="F189" i="1"/>
  <c r="F190" i="1"/>
  <c r="F206" i="1"/>
  <c r="F207" i="1"/>
  <c r="F208" i="1"/>
  <c r="F209" i="1"/>
  <c r="F210" i="1"/>
  <c r="G135" i="1"/>
  <c r="G122" i="1"/>
  <c r="I122" i="1" s="1"/>
  <c r="G111" i="1"/>
  <c r="G105" i="1"/>
  <c r="H69" i="1"/>
  <c r="I69" i="1" s="1"/>
  <c r="H67" i="1"/>
  <c r="I67" i="1" s="1"/>
  <c r="H65" i="1"/>
  <c r="I65" i="1" s="1"/>
  <c r="H63" i="1"/>
  <c r="I63" i="1" s="1"/>
  <c r="G60" i="1"/>
  <c r="G58" i="1"/>
  <c r="G30" i="1"/>
  <c r="G16" i="1"/>
  <c r="I16" i="1" s="1"/>
  <c r="F5" i="1"/>
  <c r="I5" i="1" s="1"/>
  <c r="G34" i="2"/>
  <c r="H71" i="1" s="1"/>
  <c r="I71" i="1" s="1"/>
  <c r="G33" i="2"/>
  <c r="H70" i="1" s="1"/>
  <c r="I70" i="1" s="1"/>
  <c r="G32" i="2"/>
  <c r="H597" i="1" s="1"/>
  <c r="G31" i="2"/>
  <c r="H596" i="1" s="1"/>
  <c r="G30" i="2"/>
  <c r="H595" i="1" s="1"/>
  <c r="G29" i="2"/>
  <c r="H66" i="1" s="1"/>
  <c r="I66" i="1" s="1"/>
  <c r="G28" i="2"/>
  <c r="G27" i="2"/>
  <c r="H592" i="1" s="1"/>
  <c r="G26" i="2"/>
  <c r="H580" i="1" s="1"/>
  <c r="G25" i="2"/>
  <c r="H590" i="1" s="1"/>
  <c r="G24" i="2"/>
  <c r="G20" i="2"/>
  <c r="G591" i="1" s="1"/>
  <c r="G19" i="2"/>
  <c r="G507" i="1" s="1"/>
  <c r="G18" i="2"/>
  <c r="G571" i="1" s="1"/>
  <c r="G4" i="2"/>
  <c r="G5" i="2"/>
  <c r="F151" i="1" s="1"/>
  <c r="G6" i="2"/>
  <c r="F225" i="1" s="1"/>
  <c r="G7" i="2"/>
  <c r="F299" i="1" s="1"/>
  <c r="G8" i="2"/>
  <c r="F373" i="1" s="1"/>
  <c r="G9" i="2"/>
  <c r="F447" i="1" s="1"/>
  <c r="G10" i="2"/>
  <c r="F541" i="1" s="1"/>
  <c r="I146" i="1" l="1"/>
  <c r="K146" i="1" s="1"/>
  <c r="H401" i="1"/>
  <c r="H423" i="1"/>
  <c r="H445" i="1"/>
  <c r="H467" i="1"/>
  <c r="H489" i="1"/>
  <c r="H511" i="1"/>
  <c r="H533" i="1"/>
  <c r="H555" i="1"/>
  <c r="H577" i="1"/>
  <c r="H599" i="1"/>
  <c r="H74" i="1"/>
  <c r="H96" i="1"/>
  <c r="H118" i="1"/>
  <c r="H140" i="1"/>
  <c r="H162" i="1"/>
  <c r="H184" i="1"/>
  <c r="H206" i="1"/>
  <c r="H228" i="1"/>
  <c r="H250" i="1"/>
  <c r="H272" i="1"/>
  <c r="H294" i="1"/>
  <c r="H316" i="1"/>
  <c r="H338" i="1"/>
  <c r="H360" i="1"/>
  <c r="H382" i="1"/>
  <c r="H404" i="1"/>
  <c r="H426" i="1"/>
  <c r="H448" i="1"/>
  <c r="H470" i="1"/>
  <c r="H492" i="1"/>
  <c r="H514" i="1"/>
  <c r="H536" i="1"/>
  <c r="H558" i="1"/>
  <c r="I447" i="1"/>
  <c r="K447" i="1" s="1"/>
  <c r="H339" i="1"/>
  <c r="H361" i="1"/>
  <c r="H383" i="1"/>
  <c r="H405" i="1"/>
  <c r="H427" i="1"/>
  <c r="H449" i="1"/>
  <c r="H471" i="1"/>
  <c r="H493" i="1"/>
  <c r="H515" i="1"/>
  <c r="H537" i="1"/>
  <c r="H559" i="1"/>
  <c r="H581" i="1"/>
  <c r="K62" i="1"/>
  <c r="I299" i="1"/>
  <c r="I373" i="1"/>
  <c r="I225" i="1"/>
  <c r="H62" i="1"/>
  <c r="I62" i="1" s="1"/>
  <c r="H64" i="1"/>
  <c r="I64" i="1" s="1"/>
  <c r="K64" i="1" s="1"/>
  <c r="I296" i="1"/>
  <c r="H81" i="1"/>
  <c r="H103" i="1"/>
  <c r="H125" i="1"/>
  <c r="H147" i="1"/>
  <c r="I147" i="1" s="1"/>
  <c r="K147" i="1" s="1"/>
  <c r="H169" i="1"/>
  <c r="H191" i="1"/>
  <c r="H213" i="1"/>
  <c r="H235" i="1"/>
  <c r="H257" i="1"/>
  <c r="H279" i="1"/>
  <c r="H301" i="1"/>
  <c r="H323" i="1"/>
  <c r="H345" i="1"/>
  <c r="H367" i="1"/>
  <c r="H389" i="1"/>
  <c r="H411" i="1"/>
  <c r="H433" i="1"/>
  <c r="H455" i="1"/>
  <c r="H477" i="1"/>
  <c r="H499" i="1"/>
  <c r="H521" i="1"/>
  <c r="I521" i="1" s="1"/>
  <c r="K521" i="1" s="1"/>
  <c r="H543" i="1"/>
  <c r="H565" i="1"/>
  <c r="H587" i="1"/>
  <c r="H84" i="1"/>
  <c r="H106" i="1"/>
  <c r="H128" i="1"/>
  <c r="H150" i="1"/>
  <c r="H172" i="1"/>
  <c r="H194" i="1"/>
  <c r="H216" i="1"/>
  <c r="H238" i="1"/>
  <c r="H260" i="1"/>
  <c r="H282" i="1"/>
  <c r="H304" i="1"/>
  <c r="H326" i="1"/>
  <c r="H348" i="1"/>
  <c r="H370" i="1"/>
  <c r="H392" i="1"/>
  <c r="H414" i="1"/>
  <c r="H436" i="1"/>
  <c r="H458" i="1"/>
  <c r="H480" i="1"/>
  <c r="H502" i="1"/>
  <c r="H524" i="1"/>
  <c r="H546" i="1"/>
  <c r="H568" i="1"/>
  <c r="K67" i="1"/>
  <c r="H68" i="1"/>
  <c r="I68" i="1" s="1"/>
  <c r="H86" i="1"/>
  <c r="H108" i="1"/>
  <c r="H130" i="1"/>
  <c r="H152" i="1"/>
  <c r="H174" i="1"/>
  <c r="H196" i="1"/>
  <c r="H218" i="1"/>
  <c r="H240" i="1"/>
  <c r="H262" i="1"/>
  <c r="H284" i="1"/>
  <c r="H306" i="1"/>
  <c r="H328" i="1"/>
  <c r="H350" i="1"/>
  <c r="H372" i="1"/>
  <c r="H394" i="1"/>
  <c r="H416" i="1"/>
  <c r="H438" i="1"/>
  <c r="H460" i="1"/>
  <c r="H482" i="1"/>
  <c r="H504" i="1"/>
  <c r="H526" i="1"/>
  <c r="H548" i="1"/>
  <c r="H570" i="1"/>
  <c r="I372" i="1"/>
  <c r="H89" i="1"/>
  <c r="H111" i="1"/>
  <c r="I111" i="1" s="1"/>
  <c r="K111" i="1" s="1"/>
  <c r="H133" i="1"/>
  <c r="H155" i="1"/>
  <c r="H177" i="1"/>
  <c r="H199" i="1"/>
  <c r="H221" i="1"/>
  <c r="H243" i="1"/>
  <c r="H265" i="1"/>
  <c r="H287" i="1"/>
  <c r="H309" i="1"/>
  <c r="H331" i="1"/>
  <c r="H353" i="1"/>
  <c r="H375" i="1"/>
  <c r="H397" i="1"/>
  <c r="H419" i="1"/>
  <c r="H441" i="1"/>
  <c r="H463" i="1"/>
  <c r="H485" i="1"/>
  <c r="H507" i="1"/>
  <c r="H529" i="1"/>
  <c r="H551" i="1"/>
  <c r="H573" i="1"/>
  <c r="I223" i="1"/>
  <c r="I221" i="1"/>
  <c r="I371" i="1"/>
  <c r="H90" i="1"/>
  <c r="H112" i="1"/>
  <c r="H134" i="1"/>
  <c r="H156" i="1"/>
  <c r="H178" i="1"/>
  <c r="H200" i="1"/>
  <c r="H222" i="1"/>
  <c r="I222" i="1" s="1"/>
  <c r="H244" i="1"/>
  <c r="H266" i="1"/>
  <c r="H288" i="1"/>
  <c r="H310" i="1"/>
  <c r="H332" i="1"/>
  <c r="H354" i="1"/>
  <c r="H376" i="1"/>
  <c r="H398" i="1"/>
  <c r="H420" i="1"/>
  <c r="H442" i="1"/>
  <c r="H464" i="1"/>
  <c r="H486" i="1"/>
  <c r="H508" i="1"/>
  <c r="H530" i="1"/>
  <c r="H552" i="1"/>
  <c r="H574" i="1"/>
  <c r="I224" i="1"/>
  <c r="I148" i="1"/>
  <c r="H91" i="1"/>
  <c r="H113" i="1"/>
  <c r="H135" i="1"/>
  <c r="I135" i="1" s="1"/>
  <c r="K135" i="1" s="1"/>
  <c r="H157" i="1"/>
  <c r="H179" i="1"/>
  <c r="H201" i="1"/>
  <c r="H223" i="1"/>
  <c r="H245" i="1"/>
  <c r="H267" i="1"/>
  <c r="H289" i="1"/>
  <c r="H311" i="1"/>
  <c r="H333" i="1"/>
  <c r="H355" i="1"/>
  <c r="H377" i="1"/>
  <c r="H399" i="1"/>
  <c r="H421" i="1"/>
  <c r="H443" i="1"/>
  <c r="H465" i="1"/>
  <c r="H487" i="1"/>
  <c r="H509" i="1"/>
  <c r="H531" i="1"/>
  <c r="H553" i="1"/>
  <c r="H575" i="1"/>
  <c r="F506" i="1"/>
  <c r="F486" i="1"/>
  <c r="F466" i="1"/>
  <c r="F523" i="1"/>
  <c r="F580" i="1"/>
  <c r="F560" i="1"/>
  <c r="F540" i="1"/>
  <c r="K455" i="1"/>
  <c r="F579" i="1"/>
  <c r="F464" i="1"/>
  <c r="F389" i="1"/>
  <c r="F240" i="1"/>
  <c r="F522" i="1"/>
  <c r="F259" i="1"/>
  <c r="F521" i="1"/>
  <c r="F7" i="1"/>
  <c r="F164" i="1"/>
  <c r="F218" i="1"/>
  <c r="I218" i="1" s="1"/>
  <c r="K218" i="1" s="1"/>
  <c r="F386" i="1"/>
  <c r="F460" i="1"/>
  <c r="F554" i="1"/>
  <c r="F6" i="1"/>
  <c r="F183" i="1"/>
  <c r="F143" i="1"/>
  <c r="I143" i="1" s="1"/>
  <c r="K143" i="1" s="1"/>
  <c r="F257" i="1"/>
  <c r="F217" i="1"/>
  <c r="I217" i="1" s="1"/>
  <c r="K217" i="1" s="1"/>
  <c r="F351" i="1"/>
  <c r="F331" i="1"/>
  <c r="F311" i="1"/>
  <c r="F445" i="1"/>
  <c r="F385" i="1"/>
  <c r="F519" i="1"/>
  <c r="F499" i="1"/>
  <c r="F479" i="1"/>
  <c r="F459" i="1"/>
  <c r="F593" i="1"/>
  <c r="F573" i="1"/>
  <c r="F553" i="1"/>
  <c r="F533" i="1"/>
  <c r="I533" i="1" s="1"/>
  <c r="K533" i="1" s="1"/>
  <c r="F505" i="1"/>
  <c r="F11" i="1"/>
  <c r="F370" i="1"/>
  <c r="F578" i="1"/>
  <c r="F429" i="1"/>
  <c r="F557" i="1"/>
  <c r="F294" i="1"/>
  <c r="F462" i="1"/>
  <c r="F219" i="1"/>
  <c r="I219" i="1" s="1"/>
  <c r="F461" i="1"/>
  <c r="F278" i="1"/>
  <c r="F352" i="1"/>
  <c r="F520" i="1"/>
  <c r="F594" i="1"/>
  <c r="F277" i="1"/>
  <c r="F405" i="1"/>
  <c r="F202" i="1"/>
  <c r="F182" i="1"/>
  <c r="F162" i="1"/>
  <c r="F142" i="1"/>
  <c r="I142" i="1" s="1"/>
  <c r="K142" i="1" s="1"/>
  <c r="F276" i="1"/>
  <c r="F256" i="1"/>
  <c r="F236" i="1"/>
  <c r="F216" i="1"/>
  <c r="F350" i="1"/>
  <c r="F330" i="1"/>
  <c r="F310" i="1"/>
  <c r="F444" i="1"/>
  <c r="F424" i="1"/>
  <c r="F404" i="1"/>
  <c r="F384" i="1"/>
  <c r="F518" i="1"/>
  <c r="F498" i="1"/>
  <c r="F478" i="1"/>
  <c r="F458" i="1"/>
  <c r="F592" i="1"/>
  <c r="F572" i="1"/>
  <c r="F552" i="1"/>
  <c r="F532" i="1"/>
  <c r="I532" i="1" s="1"/>
  <c r="K532" i="1" s="1"/>
  <c r="K527" i="1"/>
  <c r="F465" i="1"/>
  <c r="F390" i="1"/>
  <c r="F446" i="1"/>
  <c r="F577" i="1"/>
  <c r="F334" i="1"/>
  <c r="F576" i="1"/>
  <c r="F205" i="1"/>
  <c r="I205" i="1" s="1"/>
  <c r="K205" i="1" s="1"/>
  <c r="F407" i="1"/>
  <c r="F575" i="1"/>
  <c r="F204" i="1"/>
  <c r="F144" i="1"/>
  <c r="I144" i="1" s="1"/>
  <c r="F238" i="1"/>
  <c r="F406" i="1"/>
  <c r="F480" i="1"/>
  <c r="F574" i="1"/>
  <c r="F534" i="1"/>
  <c r="F203" i="1"/>
  <c r="F163" i="1"/>
  <c r="F237" i="1"/>
  <c r="F425" i="1"/>
  <c r="I591" i="1"/>
  <c r="K591" i="1" s="1"/>
  <c r="F201" i="1"/>
  <c r="F181" i="1"/>
  <c r="F161" i="1"/>
  <c r="F141" i="1"/>
  <c r="I141" i="1" s="1"/>
  <c r="F275" i="1"/>
  <c r="F255" i="1"/>
  <c r="F235" i="1"/>
  <c r="F292" i="1"/>
  <c r="F349" i="1"/>
  <c r="F329" i="1"/>
  <c r="F309" i="1"/>
  <c r="F443" i="1"/>
  <c r="F423" i="1"/>
  <c r="F403" i="1"/>
  <c r="F383" i="1"/>
  <c r="F517" i="1"/>
  <c r="F497" i="1"/>
  <c r="F477" i="1"/>
  <c r="F457" i="1"/>
  <c r="F591" i="1"/>
  <c r="F571" i="1"/>
  <c r="I571" i="1" s="1"/>
  <c r="K571" i="1" s="1"/>
  <c r="F551" i="1"/>
  <c r="F531" i="1"/>
  <c r="I417" i="1"/>
  <c r="K417" i="1" s="1"/>
  <c r="F599" i="1"/>
  <c r="F410" i="1"/>
  <c r="F538" i="1"/>
  <c r="F315" i="1"/>
  <c r="F463" i="1"/>
  <c r="F428" i="1"/>
  <c r="F536" i="1"/>
  <c r="F185" i="1"/>
  <c r="I185" i="1" s="1"/>
  <c r="K185" i="1" s="1"/>
  <c r="F313" i="1"/>
  <c r="F481" i="1"/>
  <c r="F332" i="1"/>
  <c r="F274" i="1"/>
  <c r="F422" i="1"/>
  <c r="F590" i="1"/>
  <c r="K225" i="1"/>
  <c r="F179" i="1"/>
  <c r="F273" i="1"/>
  <c r="F253" i="1"/>
  <c r="F347" i="1"/>
  <c r="F327" i="1"/>
  <c r="F441" i="1"/>
  <c r="F421" i="1"/>
  <c r="F401" i="1"/>
  <c r="F381" i="1"/>
  <c r="F515" i="1"/>
  <c r="F495" i="1"/>
  <c r="F475" i="1"/>
  <c r="F569" i="1"/>
  <c r="F549" i="1"/>
  <c r="F529" i="1"/>
  <c r="I529" i="1" s="1"/>
  <c r="K529" i="1" s="1"/>
  <c r="I437" i="1"/>
  <c r="F485" i="1"/>
  <c r="F484" i="1"/>
  <c r="F503" i="1"/>
  <c r="F260" i="1"/>
  <c r="F408" i="1"/>
  <c r="F596" i="1"/>
  <c r="F145" i="1"/>
  <c r="I145" i="1" s="1"/>
  <c r="F427" i="1"/>
  <c r="F555" i="1"/>
  <c r="F258" i="1"/>
  <c r="F254" i="1"/>
  <c r="F442" i="1"/>
  <c r="F530" i="1"/>
  <c r="I530" i="1" s="1"/>
  <c r="F199" i="1"/>
  <c r="F139" i="1"/>
  <c r="I139" i="1" s="1"/>
  <c r="K139" i="1" s="1"/>
  <c r="F233" i="1"/>
  <c r="F307" i="1"/>
  <c r="F589" i="1"/>
  <c r="F198" i="1"/>
  <c r="F178" i="1"/>
  <c r="F158" i="1"/>
  <c r="F215" i="1"/>
  <c r="F272" i="1"/>
  <c r="F252" i="1"/>
  <c r="F232" i="1"/>
  <c r="F366" i="1"/>
  <c r="F346" i="1"/>
  <c r="F326" i="1"/>
  <c r="F306" i="1"/>
  <c r="F440" i="1"/>
  <c r="F420" i="1"/>
  <c r="F400" i="1"/>
  <c r="F380" i="1"/>
  <c r="F514" i="1"/>
  <c r="F494" i="1"/>
  <c r="F474" i="1"/>
  <c r="F454" i="1"/>
  <c r="I454" i="1" s="1"/>
  <c r="F588" i="1"/>
  <c r="F568" i="1"/>
  <c r="F548" i="1"/>
  <c r="F528" i="1"/>
  <c r="I528" i="1" s="1"/>
  <c r="K528" i="1" s="1"/>
  <c r="I439" i="1"/>
  <c r="K439" i="1" s="1"/>
  <c r="F502" i="1"/>
  <c r="F279" i="1"/>
  <c r="F496" i="1"/>
  <c r="F159" i="1"/>
  <c r="F367" i="1"/>
  <c r="F455" i="1"/>
  <c r="I455" i="1" s="1"/>
  <c r="F197" i="1"/>
  <c r="F177" i="1"/>
  <c r="F157" i="1"/>
  <c r="F291" i="1"/>
  <c r="I291" i="1" s="1"/>
  <c r="K291" i="1" s="1"/>
  <c r="F271" i="1"/>
  <c r="F251" i="1"/>
  <c r="F231" i="1"/>
  <c r="F365" i="1"/>
  <c r="F345" i="1"/>
  <c r="F325" i="1"/>
  <c r="F305" i="1"/>
  <c r="F439" i="1"/>
  <c r="F419" i="1"/>
  <c r="F399" i="1"/>
  <c r="F379" i="1"/>
  <c r="I379" i="1" s="1"/>
  <c r="K379" i="1" s="1"/>
  <c r="F513" i="1"/>
  <c r="F493" i="1"/>
  <c r="F473" i="1"/>
  <c r="F453" i="1"/>
  <c r="I453" i="1" s="1"/>
  <c r="F587" i="1"/>
  <c r="F567" i="1"/>
  <c r="F547" i="1"/>
  <c r="F527" i="1"/>
  <c r="I527" i="1" s="1"/>
  <c r="F196" i="1"/>
  <c r="F526" i="1"/>
  <c r="I526" i="1" s="1"/>
  <c r="K526" i="1" s="1"/>
  <c r="F482" i="1"/>
  <c r="F333" i="1"/>
  <c r="F456" i="1"/>
  <c r="I456" i="1" s="1"/>
  <c r="F156" i="1"/>
  <c r="F546" i="1"/>
  <c r="F138" i="1"/>
  <c r="F195" i="1"/>
  <c r="F175" i="1"/>
  <c r="F155" i="1"/>
  <c r="F289" i="1"/>
  <c r="F269" i="1"/>
  <c r="I269" i="1" s="1"/>
  <c r="K269" i="1" s="1"/>
  <c r="F249" i="1"/>
  <c r="F229" i="1"/>
  <c r="F363" i="1"/>
  <c r="F343" i="1"/>
  <c r="F323" i="1"/>
  <c r="F303" i="1"/>
  <c r="F437" i="1"/>
  <c r="F417" i="1"/>
  <c r="F397" i="1"/>
  <c r="F377" i="1"/>
  <c r="F511" i="1"/>
  <c r="F491" i="1"/>
  <c r="F471" i="1"/>
  <c r="F451" i="1"/>
  <c r="I451" i="1" s="1"/>
  <c r="K451" i="1" s="1"/>
  <c r="F585" i="1"/>
  <c r="I585" i="1" s="1"/>
  <c r="K585" i="1" s="1"/>
  <c r="F565" i="1"/>
  <c r="F545" i="1"/>
  <c r="F525" i="1"/>
  <c r="I525" i="1" s="1"/>
  <c r="K525" i="1" s="1"/>
  <c r="F409" i="1"/>
  <c r="F239" i="1"/>
  <c r="F387" i="1"/>
  <c r="F535" i="1"/>
  <c r="F184" i="1"/>
  <c r="F500" i="1"/>
  <c r="F200" i="1"/>
  <c r="F140" i="1"/>
  <c r="I140" i="1" s="1"/>
  <c r="K140" i="1" s="1"/>
  <c r="F368" i="1"/>
  <c r="F308" i="1"/>
  <c r="F382" i="1"/>
  <c r="F550" i="1"/>
  <c r="F270" i="1"/>
  <c r="F364" i="1"/>
  <c r="F418" i="1"/>
  <c r="F566" i="1"/>
  <c r="F214" i="1"/>
  <c r="F194" i="1"/>
  <c r="F174" i="1"/>
  <c r="F154" i="1"/>
  <c r="F288" i="1"/>
  <c r="F268" i="1"/>
  <c r="F248" i="1"/>
  <c r="F228" i="1"/>
  <c r="F362" i="1"/>
  <c r="F342" i="1"/>
  <c r="F322" i="1"/>
  <c r="F302" i="1"/>
  <c r="I302" i="1" s="1"/>
  <c r="K302" i="1" s="1"/>
  <c r="F436" i="1"/>
  <c r="F416" i="1"/>
  <c r="F396" i="1"/>
  <c r="F376" i="1"/>
  <c r="I376" i="1" s="1"/>
  <c r="F510" i="1"/>
  <c r="F490" i="1"/>
  <c r="F470" i="1"/>
  <c r="F450" i="1"/>
  <c r="I450" i="1" s="1"/>
  <c r="K450" i="1" s="1"/>
  <c r="F584" i="1"/>
  <c r="F564" i="1"/>
  <c r="F544" i="1"/>
  <c r="F524" i="1"/>
  <c r="I524" i="1" s="1"/>
  <c r="F559" i="1"/>
  <c r="F430" i="1"/>
  <c r="F504" i="1"/>
  <c r="F295" i="1"/>
  <c r="I295" i="1" s="1"/>
  <c r="K295" i="1" s="1"/>
  <c r="F537" i="1"/>
  <c r="F354" i="1"/>
  <c r="F426" i="1"/>
  <c r="F180" i="1"/>
  <c r="F348" i="1"/>
  <c r="F516" i="1"/>
  <c r="I419" i="1"/>
  <c r="K419" i="1" s="1"/>
  <c r="F290" i="1"/>
  <c r="F324" i="1"/>
  <c r="F378" i="1"/>
  <c r="I378" i="1" s="1"/>
  <c r="K378" i="1" s="1"/>
  <c r="F586" i="1"/>
  <c r="F213" i="1"/>
  <c r="I213" i="1" s="1"/>
  <c r="K213" i="1" s="1"/>
  <c r="F193" i="1"/>
  <c r="F173" i="1"/>
  <c r="F153" i="1"/>
  <c r="F287" i="1"/>
  <c r="F267" i="1"/>
  <c r="F247" i="1"/>
  <c r="F227" i="1"/>
  <c r="F361" i="1"/>
  <c r="F341" i="1"/>
  <c r="I341" i="1" s="1"/>
  <c r="K341" i="1" s="1"/>
  <c r="F321" i="1"/>
  <c r="F301" i="1"/>
  <c r="I301" i="1" s="1"/>
  <c r="K301" i="1" s="1"/>
  <c r="F435" i="1"/>
  <c r="F415" i="1"/>
  <c r="F395" i="1"/>
  <c r="F375" i="1"/>
  <c r="F509" i="1"/>
  <c r="F489" i="1"/>
  <c r="F469" i="1"/>
  <c r="F449" i="1"/>
  <c r="I449" i="1" s="1"/>
  <c r="K449" i="1" s="1"/>
  <c r="F583" i="1"/>
  <c r="F563" i="1"/>
  <c r="F543" i="1"/>
  <c r="I573" i="1"/>
  <c r="F558" i="1"/>
  <c r="F10" i="1"/>
  <c r="F335" i="1"/>
  <c r="F597" i="1"/>
  <c r="F9" i="1"/>
  <c r="F220" i="1"/>
  <c r="I220" i="1" s="1"/>
  <c r="K220" i="1" s="1"/>
  <c r="F388" i="1"/>
  <c r="F165" i="1"/>
  <c r="F293" i="1"/>
  <c r="I293" i="1" s="1"/>
  <c r="F595" i="1"/>
  <c r="F312" i="1"/>
  <c r="F234" i="1"/>
  <c r="F402" i="1"/>
  <c r="F570" i="1"/>
  <c r="F250" i="1"/>
  <c r="F344" i="1"/>
  <c r="F438" i="1"/>
  <c r="F512" i="1"/>
  <c r="F452" i="1"/>
  <c r="I452" i="1" s="1"/>
  <c r="F212" i="1"/>
  <c r="F192" i="1"/>
  <c r="F172" i="1"/>
  <c r="F152" i="1"/>
  <c r="F286" i="1"/>
  <c r="F266" i="1"/>
  <c r="F246" i="1"/>
  <c r="F226" i="1"/>
  <c r="F360" i="1"/>
  <c r="F340" i="1"/>
  <c r="F320" i="1"/>
  <c r="F300" i="1"/>
  <c r="I300" i="1" s="1"/>
  <c r="K300" i="1" s="1"/>
  <c r="F434" i="1"/>
  <c r="F414" i="1"/>
  <c r="F394" i="1"/>
  <c r="F374" i="1"/>
  <c r="I374" i="1" s="1"/>
  <c r="K374" i="1" s="1"/>
  <c r="F508" i="1"/>
  <c r="F488" i="1"/>
  <c r="F468" i="1"/>
  <c r="F448" i="1"/>
  <c r="F582" i="1"/>
  <c r="F562" i="1"/>
  <c r="F542" i="1"/>
  <c r="I187" i="1"/>
  <c r="F539" i="1"/>
  <c r="F598" i="1"/>
  <c r="F355" i="1"/>
  <c r="F483" i="1"/>
  <c r="F314" i="1"/>
  <c r="F556" i="1"/>
  <c r="F8" i="1"/>
  <c r="F33" i="1" s="1"/>
  <c r="F353" i="1"/>
  <c r="F501" i="1"/>
  <c r="F369" i="1"/>
  <c r="F160" i="1"/>
  <c r="F328" i="1"/>
  <c r="F476" i="1"/>
  <c r="F176" i="1"/>
  <c r="F230" i="1"/>
  <c r="F304" i="1"/>
  <c r="F398" i="1"/>
  <c r="F492" i="1"/>
  <c r="F472" i="1"/>
  <c r="F211" i="1"/>
  <c r="F191" i="1"/>
  <c r="F171" i="1"/>
  <c r="F285" i="1"/>
  <c r="F265" i="1"/>
  <c r="F245" i="1"/>
  <c r="F359" i="1"/>
  <c r="F339" i="1"/>
  <c r="F319" i="1"/>
  <c r="F433" i="1"/>
  <c r="F413" i="1"/>
  <c r="F393" i="1"/>
  <c r="F507" i="1"/>
  <c r="I507" i="1" s="1"/>
  <c r="K507" i="1" s="1"/>
  <c r="F487" i="1"/>
  <c r="F467" i="1"/>
  <c r="F581" i="1"/>
  <c r="F561" i="1"/>
  <c r="I593" i="1"/>
  <c r="K593" i="1" s="1"/>
  <c r="G272" i="1"/>
  <c r="G25" i="1"/>
  <c r="G112" i="1"/>
  <c r="G136" i="1"/>
  <c r="I136" i="1" s="1"/>
  <c r="G192" i="1"/>
  <c r="I192" i="1" s="1"/>
  <c r="K192" i="1" s="1"/>
  <c r="G212" i="1"/>
  <c r="I212" i="1" s="1"/>
  <c r="G276" i="1"/>
  <c r="I276" i="1" s="1"/>
  <c r="G340" i="1"/>
  <c r="I340" i="1" s="1"/>
  <c r="K340" i="1" s="1"/>
  <c r="G360" i="1"/>
  <c r="I360" i="1" s="1"/>
  <c r="K360" i="1" s="1"/>
  <c r="G424" i="1"/>
  <c r="G444" i="1"/>
  <c r="G508" i="1"/>
  <c r="G572" i="1"/>
  <c r="I572" i="1" s="1"/>
  <c r="K572" i="1" s="1"/>
  <c r="G592" i="1"/>
  <c r="I592" i="1" s="1"/>
  <c r="K592" i="1" s="1"/>
  <c r="K18" i="1"/>
  <c r="G355" i="1"/>
  <c r="G31" i="1"/>
  <c r="G110" i="1"/>
  <c r="I110" i="1" s="1"/>
  <c r="G134" i="1"/>
  <c r="G194" i="1"/>
  <c r="G214" i="1"/>
  <c r="G278" i="1"/>
  <c r="G342" i="1"/>
  <c r="I342" i="1" s="1"/>
  <c r="K342" i="1" s="1"/>
  <c r="G362" i="1"/>
  <c r="I362" i="1" s="1"/>
  <c r="K362" i="1" s="1"/>
  <c r="G426" i="1"/>
  <c r="I426" i="1" s="1"/>
  <c r="K426" i="1" s="1"/>
  <c r="G490" i="1"/>
  <c r="G510" i="1"/>
  <c r="I510" i="1" s="1"/>
  <c r="G574" i="1"/>
  <c r="I574" i="1" s="1"/>
  <c r="G594" i="1"/>
  <c r="I594" i="1" s="1"/>
  <c r="K594" i="1" s="1"/>
  <c r="G32" i="1"/>
  <c r="G109" i="1"/>
  <c r="I109" i="1" s="1"/>
  <c r="K109" i="1" s="1"/>
  <c r="G133" i="1"/>
  <c r="I133" i="1" s="1"/>
  <c r="K133" i="1" s="1"/>
  <c r="G195" i="1"/>
  <c r="G259" i="1"/>
  <c r="G279" i="1"/>
  <c r="G343" i="1"/>
  <c r="I343" i="1" s="1"/>
  <c r="G363" i="1"/>
  <c r="I363" i="1" s="1"/>
  <c r="K363" i="1" s="1"/>
  <c r="G427" i="1"/>
  <c r="G491" i="1"/>
  <c r="G511" i="1"/>
  <c r="I511" i="1" s="1"/>
  <c r="K511" i="1" s="1"/>
  <c r="G575" i="1"/>
  <c r="G595" i="1"/>
  <c r="G120" i="1"/>
  <c r="I120" i="1" s="1"/>
  <c r="K120" i="1" s="1"/>
  <c r="G277" i="1"/>
  <c r="I277" i="1" s="1"/>
  <c r="G509" i="1"/>
  <c r="G364" i="1"/>
  <c r="G576" i="1"/>
  <c r="G38" i="1"/>
  <c r="G107" i="1"/>
  <c r="I107" i="1" s="1"/>
  <c r="K107" i="1" s="1"/>
  <c r="G131" i="1"/>
  <c r="I131" i="1" s="1"/>
  <c r="G197" i="1"/>
  <c r="I197" i="1" s="1"/>
  <c r="K197" i="1" s="1"/>
  <c r="G261" i="1"/>
  <c r="I261" i="1" s="1"/>
  <c r="G281" i="1"/>
  <c r="G345" i="1"/>
  <c r="I345" i="1" s="1"/>
  <c r="K345" i="1" s="1"/>
  <c r="G365" i="1"/>
  <c r="I365" i="1" s="1"/>
  <c r="G429" i="1"/>
  <c r="G493" i="1"/>
  <c r="G513" i="1"/>
  <c r="I513" i="1" s="1"/>
  <c r="K513" i="1" s="1"/>
  <c r="G577" i="1"/>
  <c r="I577" i="1" s="1"/>
  <c r="K577" i="1" s="1"/>
  <c r="G597" i="1"/>
  <c r="I597" i="1" s="1"/>
  <c r="K597" i="1" s="1"/>
  <c r="G587" i="1"/>
  <c r="G425" i="1"/>
  <c r="I425" i="1" s="1"/>
  <c r="K425" i="1" s="1"/>
  <c r="G108" i="1"/>
  <c r="I108" i="1" s="1"/>
  <c r="K108" i="1" s="1"/>
  <c r="G428" i="1"/>
  <c r="I428" i="1" s="1"/>
  <c r="G596" i="1"/>
  <c r="G39" i="1"/>
  <c r="G130" i="1"/>
  <c r="I130" i="1" s="1"/>
  <c r="K130" i="1" s="1"/>
  <c r="G262" i="1"/>
  <c r="I262" i="1" s="1"/>
  <c r="G366" i="1"/>
  <c r="G514" i="1"/>
  <c r="I514" i="1" s="1"/>
  <c r="G515" i="1"/>
  <c r="G37" i="1"/>
  <c r="G260" i="1"/>
  <c r="I260" i="1" s="1"/>
  <c r="K260" i="1" s="1"/>
  <c r="G512" i="1"/>
  <c r="G198" i="1"/>
  <c r="G346" i="1"/>
  <c r="G494" i="1"/>
  <c r="I494" i="1" s="1"/>
  <c r="K494" i="1" s="1"/>
  <c r="G598" i="1"/>
  <c r="I598" i="1" s="1"/>
  <c r="K598" i="1" s="1"/>
  <c r="G117" i="1"/>
  <c r="I117" i="1" s="1"/>
  <c r="G199" i="1"/>
  <c r="G283" i="1"/>
  <c r="I283" i="1" s="1"/>
  <c r="G347" i="1"/>
  <c r="G431" i="1"/>
  <c r="I431" i="1" s="1"/>
  <c r="G579" i="1"/>
  <c r="G516" i="1"/>
  <c r="G271" i="1"/>
  <c r="I271" i="1" s="1"/>
  <c r="G132" i="1"/>
  <c r="I132" i="1" s="1"/>
  <c r="G196" i="1"/>
  <c r="I196" i="1" s="1"/>
  <c r="K196" i="1" s="1"/>
  <c r="G280" i="1"/>
  <c r="I280" i="1" s="1"/>
  <c r="K280" i="1" s="1"/>
  <c r="G492" i="1"/>
  <c r="I492" i="1" s="1"/>
  <c r="K492" i="1" s="1"/>
  <c r="G106" i="1"/>
  <c r="G282" i="1"/>
  <c r="I282" i="1" s="1"/>
  <c r="K282" i="1" s="1"/>
  <c r="G430" i="1"/>
  <c r="I430" i="1" s="1"/>
  <c r="K430" i="1" s="1"/>
  <c r="G578" i="1"/>
  <c r="G44" i="1"/>
  <c r="G129" i="1"/>
  <c r="I129" i="1" s="1"/>
  <c r="G263" i="1"/>
  <c r="I263" i="1" s="1"/>
  <c r="K263" i="1" s="1"/>
  <c r="G367" i="1"/>
  <c r="G495" i="1"/>
  <c r="G599" i="1"/>
  <c r="G45" i="1"/>
  <c r="G127" i="1"/>
  <c r="G200" i="1"/>
  <c r="G264" i="1"/>
  <c r="I264" i="1" s="1"/>
  <c r="K264" i="1" s="1"/>
  <c r="G284" i="1"/>
  <c r="I284" i="1" s="1"/>
  <c r="K284" i="1" s="1"/>
  <c r="G348" i="1"/>
  <c r="G368" i="1"/>
  <c r="I368" i="1" s="1"/>
  <c r="K368" i="1" s="1"/>
  <c r="G432" i="1"/>
  <c r="I432" i="1" s="1"/>
  <c r="G496" i="1"/>
  <c r="G580" i="1"/>
  <c r="I580" i="1" s="1"/>
  <c r="K580" i="1" s="1"/>
  <c r="G46" i="1"/>
  <c r="G126" i="1"/>
  <c r="I126" i="1" s="1"/>
  <c r="K126" i="1" s="1"/>
  <c r="G201" i="1"/>
  <c r="I201" i="1" s="1"/>
  <c r="K201" i="1" s="1"/>
  <c r="G265" i="1"/>
  <c r="I265" i="1" s="1"/>
  <c r="K265" i="1" s="1"/>
  <c r="G285" i="1"/>
  <c r="I285" i="1" s="1"/>
  <c r="K285" i="1" s="1"/>
  <c r="G349" i="1"/>
  <c r="I349" i="1" s="1"/>
  <c r="G413" i="1"/>
  <c r="G433" i="1"/>
  <c r="I433" i="1" s="1"/>
  <c r="G497" i="1"/>
  <c r="I497" i="1" s="1"/>
  <c r="G517" i="1"/>
  <c r="G581" i="1"/>
  <c r="G125" i="1"/>
  <c r="I125" i="1" s="1"/>
  <c r="G202" i="1"/>
  <c r="I202" i="1" s="1"/>
  <c r="K202" i="1" s="1"/>
  <c r="G286" i="1"/>
  <c r="I286" i="1" s="1"/>
  <c r="G414" i="1"/>
  <c r="G518" i="1"/>
  <c r="I518" i="1" s="1"/>
  <c r="G52" i="1"/>
  <c r="G124" i="1"/>
  <c r="I124" i="1" s="1"/>
  <c r="K124" i="1" s="1"/>
  <c r="G183" i="1"/>
  <c r="I183" i="1" s="1"/>
  <c r="K183" i="1" s="1"/>
  <c r="G203" i="1"/>
  <c r="I203" i="1" s="1"/>
  <c r="K203" i="1" s="1"/>
  <c r="G267" i="1"/>
  <c r="I267" i="1" s="1"/>
  <c r="K267" i="1" s="1"/>
  <c r="G287" i="1"/>
  <c r="I287" i="1" s="1"/>
  <c r="K287" i="1" s="1"/>
  <c r="G351" i="1"/>
  <c r="I351" i="1" s="1"/>
  <c r="K351" i="1" s="1"/>
  <c r="G415" i="1"/>
  <c r="I415" i="1" s="1"/>
  <c r="K415" i="1" s="1"/>
  <c r="G435" i="1"/>
  <c r="G499" i="1"/>
  <c r="G519" i="1"/>
  <c r="G583" i="1"/>
  <c r="G344" i="1"/>
  <c r="I344" i="1" s="1"/>
  <c r="G51" i="1"/>
  <c r="G182" i="1"/>
  <c r="G266" i="1"/>
  <c r="I266" i="1" s="1"/>
  <c r="G350" i="1"/>
  <c r="G434" i="1"/>
  <c r="G498" i="1"/>
  <c r="I498" i="1" s="1"/>
  <c r="K498" i="1" s="1"/>
  <c r="G582" i="1"/>
  <c r="I582" i="1" s="1"/>
  <c r="K582" i="1" s="1"/>
  <c r="G53" i="1"/>
  <c r="G123" i="1"/>
  <c r="I123" i="1" s="1"/>
  <c r="G184" i="1"/>
  <c r="G204" i="1"/>
  <c r="G268" i="1"/>
  <c r="I268" i="1" s="1"/>
  <c r="K268" i="1" s="1"/>
  <c r="G288" i="1"/>
  <c r="I288" i="1" s="1"/>
  <c r="G352" i="1"/>
  <c r="I352" i="1" s="1"/>
  <c r="K352" i="1" s="1"/>
  <c r="G416" i="1"/>
  <c r="I416" i="1" s="1"/>
  <c r="K416" i="1" s="1"/>
  <c r="G436" i="1"/>
  <c r="G500" i="1"/>
  <c r="G520" i="1"/>
  <c r="G584" i="1"/>
  <c r="G59" i="1"/>
  <c r="G121" i="1"/>
  <c r="I121" i="1" s="1"/>
  <c r="K121" i="1" s="1"/>
  <c r="G186" i="1"/>
  <c r="I186" i="1" s="1"/>
  <c r="G206" i="1"/>
  <c r="I206" i="1" s="1"/>
  <c r="G270" i="1"/>
  <c r="G290" i="1"/>
  <c r="G354" i="1"/>
  <c r="I354" i="1" s="1"/>
  <c r="G418" i="1"/>
  <c r="I418" i="1" s="1"/>
  <c r="K418" i="1" s="1"/>
  <c r="G438" i="1"/>
  <c r="I438" i="1" s="1"/>
  <c r="K438" i="1" s="1"/>
  <c r="G502" i="1"/>
  <c r="I502" i="1" s="1"/>
  <c r="K502" i="1" s="1"/>
  <c r="G522" i="1"/>
  <c r="G586" i="1"/>
  <c r="G116" i="1"/>
  <c r="G208" i="1"/>
  <c r="I208" i="1" s="1"/>
  <c r="K208" i="1" s="1"/>
  <c r="G356" i="1"/>
  <c r="I356" i="1" s="1"/>
  <c r="K356" i="1" s="1"/>
  <c r="G440" i="1"/>
  <c r="I440" i="1" s="1"/>
  <c r="K440" i="1" s="1"/>
  <c r="G568" i="1"/>
  <c r="G18" i="1"/>
  <c r="I18" i="1" s="1"/>
  <c r="G118" i="1"/>
  <c r="I118" i="1" s="1"/>
  <c r="G189" i="1"/>
  <c r="I189" i="1" s="1"/>
  <c r="G209" i="1"/>
  <c r="I209" i="1" s="1"/>
  <c r="G273" i="1"/>
  <c r="G337" i="1"/>
  <c r="I337" i="1" s="1"/>
  <c r="K337" i="1" s="1"/>
  <c r="G357" i="1"/>
  <c r="I357" i="1" s="1"/>
  <c r="K357" i="1" s="1"/>
  <c r="G421" i="1"/>
  <c r="G441" i="1"/>
  <c r="G505" i="1"/>
  <c r="I505" i="1" s="1"/>
  <c r="K505" i="1" s="1"/>
  <c r="G589" i="1"/>
  <c r="K286" i="1"/>
  <c r="K206" i="1"/>
  <c r="K186" i="1"/>
  <c r="G503" i="1"/>
  <c r="I503" i="1" s="1"/>
  <c r="K503" i="1" s="1"/>
  <c r="G17" i="1"/>
  <c r="I17" i="1" s="1"/>
  <c r="G119" i="1"/>
  <c r="I119" i="1" s="1"/>
  <c r="K119" i="1" s="1"/>
  <c r="G188" i="1"/>
  <c r="I188" i="1" s="1"/>
  <c r="K188" i="1" s="1"/>
  <c r="G336" i="1"/>
  <c r="G420" i="1"/>
  <c r="I420" i="1" s="1"/>
  <c r="G504" i="1"/>
  <c r="G588" i="1"/>
  <c r="I588" i="1" s="1"/>
  <c r="K588" i="1" s="1"/>
  <c r="G115" i="1"/>
  <c r="I115" i="1" s="1"/>
  <c r="K115" i="1" s="1"/>
  <c r="G569" i="1"/>
  <c r="I569" i="1" s="1"/>
  <c r="K569" i="1" s="1"/>
  <c r="G23" i="1"/>
  <c r="G114" i="1"/>
  <c r="I114" i="1" s="1"/>
  <c r="K114" i="1" s="1"/>
  <c r="G128" i="1"/>
  <c r="G190" i="1"/>
  <c r="I190" i="1" s="1"/>
  <c r="G210" i="1"/>
  <c r="I210" i="1" s="1"/>
  <c r="K210" i="1" s="1"/>
  <c r="G274" i="1"/>
  <c r="I274" i="1" s="1"/>
  <c r="K274" i="1" s="1"/>
  <c r="G338" i="1"/>
  <c r="I338" i="1" s="1"/>
  <c r="K338" i="1" s="1"/>
  <c r="G358" i="1"/>
  <c r="G422" i="1"/>
  <c r="I422" i="1" s="1"/>
  <c r="K422" i="1" s="1"/>
  <c r="G442" i="1"/>
  <c r="I442" i="1" s="1"/>
  <c r="G506" i="1"/>
  <c r="I506" i="1" s="1"/>
  <c r="K506" i="1" s="1"/>
  <c r="G570" i="1"/>
  <c r="G590" i="1"/>
  <c r="K125" i="1"/>
  <c r="K16" i="1"/>
  <c r="G24" i="1"/>
  <c r="G113" i="1"/>
  <c r="G137" i="1"/>
  <c r="I137" i="1" s="1"/>
  <c r="K137" i="1" s="1"/>
  <c r="G191" i="1"/>
  <c r="G211" i="1"/>
  <c r="I211" i="1" s="1"/>
  <c r="G275" i="1"/>
  <c r="G339" i="1"/>
  <c r="G359" i="1"/>
  <c r="G423" i="1"/>
  <c r="G443" i="1"/>
  <c r="K5" i="1"/>
  <c r="K510" i="1"/>
  <c r="K283" i="1"/>
  <c r="K223" i="1"/>
  <c r="K456" i="1"/>
  <c r="K296" i="1"/>
  <c r="K276" i="1"/>
  <c r="K136" i="1"/>
  <c r="K207" i="1"/>
  <c r="K261" i="1"/>
  <c r="K221" i="1"/>
  <c r="K141" i="1"/>
  <c r="K219" i="1"/>
  <c r="K298" i="1"/>
  <c r="K118" i="1"/>
  <c r="K437" i="1"/>
  <c r="K297" i="1"/>
  <c r="K349" i="1"/>
  <c r="K209" i="1"/>
  <c r="K129" i="1"/>
  <c r="K428" i="1"/>
  <c r="K148" i="1"/>
  <c r="K70" i="1"/>
  <c r="K187" i="1"/>
  <c r="K69" i="1"/>
  <c r="K514" i="1"/>
  <c r="K524" i="1"/>
  <c r="K144" i="1"/>
  <c r="K344" i="1"/>
  <c r="K224" i="1"/>
  <c r="K262" i="1"/>
  <c r="K122" i="1"/>
  <c r="K573" i="1"/>
  <c r="K433" i="1"/>
  <c r="K373" i="1"/>
  <c r="K452" i="1"/>
  <c r="K432" i="1"/>
  <c r="K372" i="1"/>
  <c r="K212" i="1"/>
  <c r="K132" i="1"/>
  <c r="K371" i="1"/>
  <c r="K271" i="1"/>
  <c r="K131" i="1"/>
  <c r="K454" i="1"/>
  <c r="K66" i="1"/>
  <c r="K63" i="1"/>
  <c r="K65" i="1"/>
  <c r="K17" i="1"/>
  <c r="K71" i="1"/>
  <c r="F40" i="1"/>
  <c r="F23" i="1"/>
  <c r="F25" i="1"/>
  <c r="F49" i="1"/>
  <c r="F44" i="1"/>
  <c r="F53" i="1"/>
  <c r="F45" i="1"/>
  <c r="F43" i="1"/>
  <c r="F29" i="1"/>
  <c r="F31" i="1"/>
  <c r="F32" i="1"/>
  <c r="F30" i="1"/>
  <c r="I30" i="1" s="1"/>
  <c r="K30" i="1" s="1"/>
  <c r="F26" i="1"/>
  <c r="F20" i="1"/>
  <c r="F21" i="1"/>
  <c r="F24" i="1"/>
  <c r="F19" i="1"/>
  <c r="F42" i="1"/>
  <c r="I515" i="1" l="1"/>
  <c r="K515" i="1" s="1"/>
  <c r="I184" i="1"/>
  <c r="K184" i="1" s="1"/>
  <c r="I508" i="1"/>
  <c r="I375" i="1"/>
  <c r="K375" i="1" s="1"/>
  <c r="I353" i="1"/>
  <c r="K353" i="1" s="1"/>
  <c r="I377" i="1"/>
  <c r="K377" i="1" s="1"/>
  <c r="I443" i="1"/>
  <c r="K443" i="1" s="1"/>
  <c r="I441" i="1"/>
  <c r="K441" i="1" s="1"/>
  <c r="I445" i="1"/>
  <c r="K445" i="1" s="1"/>
  <c r="I423" i="1"/>
  <c r="K423" i="1" s="1"/>
  <c r="I421" i="1"/>
  <c r="K421" i="1" s="1"/>
  <c r="I200" i="1"/>
  <c r="I361" i="1"/>
  <c r="K361" i="1" s="1"/>
  <c r="I294" i="1"/>
  <c r="K294" i="1" s="1"/>
  <c r="I112" i="1"/>
  <c r="I105" i="1" s="1"/>
  <c r="I199" i="1"/>
  <c r="K199" i="1" s="1"/>
  <c r="I531" i="1"/>
  <c r="K531" i="1" s="1"/>
  <c r="I216" i="1"/>
  <c r="K216" i="1" s="1"/>
  <c r="I128" i="1"/>
  <c r="I127" i="1" s="1"/>
  <c r="I587" i="1"/>
  <c r="K587" i="1" s="1"/>
  <c r="I370" i="1"/>
  <c r="I369" i="1" s="1"/>
  <c r="I113" i="1"/>
  <c r="K113" i="1" s="1"/>
  <c r="I504" i="1"/>
  <c r="K504" i="1" s="1"/>
  <c r="I134" i="1"/>
  <c r="I448" i="1"/>
  <c r="K448" i="1" s="1"/>
  <c r="I289" i="1"/>
  <c r="K289" i="1" s="1"/>
  <c r="I106" i="1"/>
  <c r="K106" i="1" s="1"/>
  <c r="I44" i="1"/>
  <c r="K44" i="1" s="1"/>
  <c r="F36" i="1"/>
  <c r="I586" i="1"/>
  <c r="K586" i="1" s="1"/>
  <c r="I46" i="1"/>
  <c r="K46" i="1" s="1"/>
  <c r="I346" i="1"/>
  <c r="K346" i="1" s="1"/>
  <c r="F37" i="1"/>
  <c r="I359" i="1"/>
  <c r="K359" i="1" s="1"/>
  <c r="I522" i="1"/>
  <c r="K522" i="1" s="1"/>
  <c r="I198" i="1"/>
  <c r="K198" i="1" s="1"/>
  <c r="I493" i="1"/>
  <c r="K493" i="1" s="1"/>
  <c r="F34" i="1"/>
  <c r="F35" i="1"/>
  <c r="I339" i="1"/>
  <c r="K339" i="1" s="1"/>
  <c r="I429" i="1"/>
  <c r="K429" i="1" s="1"/>
  <c r="I275" i="1"/>
  <c r="K275" i="1" s="1"/>
  <c r="I53" i="1"/>
  <c r="K53" i="1" s="1"/>
  <c r="I496" i="1"/>
  <c r="K496" i="1" s="1"/>
  <c r="I595" i="1"/>
  <c r="K595" i="1" s="1"/>
  <c r="I278" i="1"/>
  <c r="K278" i="1" s="1"/>
  <c r="I25" i="1"/>
  <c r="K25" i="1" s="1"/>
  <c r="I191" i="1"/>
  <c r="K191" i="1" s="1"/>
  <c r="I414" i="1"/>
  <c r="K414" i="1" s="1"/>
  <c r="I194" i="1"/>
  <c r="I214" i="1"/>
  <c r="K214" i="1" s="1"/>
  <c r="K293" i="1"/>
  <c r="I23" i="1"/>
  <c r="K23" i="1" s="1"/>
  <c r="I290" i="1"/>
  <c r="K290" i="1" s="1"/>
  <c r="I434" i="1"/>
  <c r="K434" i="1" s="1"/>
  <c r="I348" i="1"/>
  <c r="K348" i="1" s="1"/>
  <c r="I491" i="1"/>
  <c r="K491" i="1" s="1"/>
  <c r="I272" i="1"/>
  <c r="K272" i="1" s="1"/>
  <c r="F38" i="1"/>
  <c r="I8" i="1"/>
  <c r="K8" i="1" s="1"/>
  <c r="I575" i="1"/>
  <c r="K575" i="1" s="1"/>
  <c r="I350" i="1"/>
  <c r="K350" i="1" s="1"/>
  <c r="I366" i="1"/>
  <c r="K366" i="1" s="1"/>
  <c r="I427" i="1"/>
  <c r="K427" i="1" s="1"/>
  <c r="F41" i="1"/>
  <c r="I9" i="1"/>
  <c r="K9" i="1" s="1"/>
  <c r="I138" i="1"/>
  <c r="F55" i="1"/>
  <c r="F58" i="1"/>
  <c r="I58" i="1" s="1"/>
  <c r="K58" i="1" s="1"/>
  <c r="F56" i="1"/>
  <c r="F59" i="1"/>
  <c r="I59" i="1" s="1"/>
  <c r="K59" i="1" s="1"/>
  <c r="F60" i="1"/>
  <c r="I60" i="1" s="1"/>
  <c r="K60" i="1" s="1"/>
  <c r="F54" i="1"/>
  <c r="I11" i="1"/>
  <c r="K11" i="1" s="1"/>
  <c r="F57" i="1"/>
  <c r="F22" i="1"/>
  <c r="I6" i="1"/>
  <c r="K6" i="1" s="1"/>
  <c r="I31" i="1"/>
  <c r="K31" i="1" s="1"/>
  <c r="I355" i="1"/>
  <c r="K355" i="1" s="1"/>
  <c r="I279" i="1"/>
  <c r="K279" i="1" s="1"/>
  <c r="I523" i="1"/>
  <c r="I37" i="1"/>
  <c r="K37" i="1" s="1"/>
  <c r="I581" i="1"/>
  <c r="K581" i="1" s="1"/>
  <c r="I38" i="1"/>
  <c r="K38" i="1" s="1"/>
  <c r="F46" i="1"/>
  <c r="I517" i="1"/>
  <c r="K517" i="1" s="1"/>
  <c r="I45" i="1"/>
  <c r="K45" i="1" s="1"/>
  <c r="I516" i="1"/>
  <c r="K516" i="1" s="1"/>
  <c r="I599" i="1"/>
  <c r="K599" i="1" s="1"/>
  <c r="I446" i="1"/>
  <c r="I24" i="1"/>
  <c r="K24" i="1" s="1"/>
  <c r="I51" i="1"/>
  <c r="K51" i="1" s="1"/>
  <c r="I584" i="1"/>
  <c r="K584" i="1" s="1"/>
  <c r="I195" i="1"/>
  <c r="K195" i="1" s="1"/>
  <c r="F39" i="1"/>
  <c r="I39" i="1" s="1"/>
  <c r="K39" i="1" s="1"/>
  <c r="I520" i="1"/>
  <c r="K520" i="1" s="1"/>
  <c r="I519" i="1"/>
  <c r="I495" i="1"/>
  <c r="K495" i="1" s="1"/>
  <c r="I596" i="1"/>
  <c r="K596" i="1" s="1"/>
  <c r="I576" i="1"/>
  <c r="K576" i="1" s="1"/>
  <c r="I7" i="1"/>
  <c r="K7" i="1" s="1"/>
  <c r="F28" i="1"/>
  <c r="F27" i="1"/>
  <c r="F50" i="1"/>
  <c r="I10" i="1"/>
  <c r="K10" i="1" s="1"/>
  <c r="F48" i="1"/>
  <c r="F47" i="1"/>
  <c r="F51" i="1"/>
  <c r="I590" i="1"/>
  <c r="K590" i="1" s="1"/>
  <c r="I500" i="1"/>
  <c r="K500" i="1" s="1"/>
  <c r="I499" i="1"/>
  <c r="K499" i="1" s="1"/>
  <c r="I367" i="1"/>
  <c r="K367" i="1" s="1"/>
  <c r="I364" i="1"/>
  <c r="K364" i="1" s="1"/>
  <c r="I444" i="1"/>
  <c r="K444" i="1" s="1"/>
  <c r="I273" i="1"/>
  <c r="K273" i="1" s="1"/>
  <c r="I583" i="1"/>
  <c r="K583" i="1" s="1"/>
  <c r="I579" i="1"/>
  <c r="K579" i="1" s="1"/>
  <c r="F52" i="1"/>
  <c r="I52" i="1" s="1"/>
  <c r="K52" i="1" s="1"/>
  <c r="K370" i="1"/>
  <c r="I570" i="1"/>
  <c r="K570" i="1" s="1"/>
  <c r="I568" i="1"/>
  <c r="K568" i="1" s="1"/>
  <c r="I436" i="1"/>
  <c r="K436" i="1" s="1"/>
  <c r="I509" i="1"/>
  <c r="K509" i="1" s="1"/>
  <c r="I32" i="1"/>
  <c r="K32" i="1" s="1"/>
  <c r="I413" i="1"/>
  <c r="I116" i="1"/>
  <c r="K117" i="1"/>
  <c r="K110" i="1"/>
  <c r="I358" i="1"/>
  <c r="K518" i="1"/>
  <c r="I259" i="1"/>
  <c r="K190" i="1"/>
  <c r="I347" i="1" l="1"/>
  <c r="K128" i="1"/>
  <c r="I182" i="1"/>
  <c r="I501" i="1"/>
  <c r="I204" i="1"/>
  <c r="I215" i="1"/>
  <c r="I292" i="1"/>
  <c r="I270" i="1"/>
  <c r="I336" i="1"/>
  <c r="I435" i="1"/>
  <c r="I281" i="1"/>
  <c r="I578" i="1"/>
  <c r="K578" i="1" s="1"/>
  <c r="I589" i="1"/>
  <c r="K589" i="1" s="1"/>
  <c r="I490" i="1"/>
  <c r="I567" i="1"/>
  <c r="I424" i="1"/>
  <c r="I193" i="1"/>
  <c r="K194" i="1"/>
  <c r="I512" i="1"/>
  <c r="G14" i="2"/>
  <c r="G16" i="2"/>
  <c r="G15" i="2"/>
  <c r="G17" i="2"/>
  <c r="K574" i="1"/>
  <c r="G563" i="1" l="1"/>
  <c r="I563" i="1" s="1"/>
  <c r="G330" i="1"/>
  <c r="I330" i="1" s="1"/>
  <c r="G100" i="1"/>
  <c r="I100" i="1" s="1"/>
  <c r="K100" i="1" s="1"/>
  <c r="G22" i="1"/>
  <c r="I22" i="1" s="1"/>
  <c r="K22" i="1" s="1"/>
  <c r="G412" i="1"/>
  <c r="I412" i="1" s="1"/>
  <c r="K412" i="1" s="1"/>
  <c r="G179" i="1"/>
  <c r="I179" i="1" s="1"/>
  <c r="K179" i="1" s="1"/>
  <c r="G405" i="1"/>
  <c r="I405" i="1" s="1"/>
  <c r="K405" i="1" s="1"/>
  <c r="G562" i="1"/>
  <c r="I562" i="1" s="1"/>
  <c r="K562" i="1" s="1"/>
  <c r="G329" i="1"/>
  <c r="I329" i="1" s="1"/>
  <c r="K329" i="1" s="1"/>
  <c r="G258" i="1"/>
  <c r="I258" i="1" s="1"/>
  <c r="K258" i="1" s="1"/>
  <c r="G101" i="1"/>
  <c r="I101" i="1" s="1"/>
  <c r="G248" i="1"/>
  <c r="G175" i="1"/>
  <c r="I175" i="1" s="1"/>
  <c r="K175" i="1" s="1"/>
  <c r="G565" i="1"/>
  <c r="I565" i="1" s="1"/>
  <c r="K565" i="1" s="1"/>
  <c r="G403" i="1"/>
  <c r="I403" i="1" s="1"/>
  <c r="K403" i="1" s="1"/>
  <c r="G561" i="1"/>
  <c r="I561" i="1" s="1"/>
  <c r="K561" i="1" s="1"/>
  <c r="G328" i="1"/>
  <c r="I328" i="1" s="1"/>
  <c r="K328" i="1" s="1"/>
  <c r="G257" i="1"/>
  <c r="I257" i="1" s="1"/>
  <c r="K257" i="1" s="1"/>
  <c r="G102" i="1"/>
  <c r="I102" i="1" s="1"/>
  <c r="K102" i="1" s="1"/>
  <c r="G43" i="1"/>
  <c r="I43" i="1" s="1"/>
  <c r="K43" i="1" s="1"/>
  <c r="G483" i="1"/>
  <c r="I483" i="1" s="1"/>
  <c r="K483" i="1" s="1"/>
  <c r="G480" i="1"/>
  <c r="I480" i="1" s="1"/>
  <c r="K480" i="1" s="1"/>
  <c r="G176" i="1"/>
  <c r="I176" i="1" s="1"/>
  <c r="K176" i="1" s="1"/>
  <c r="G560" i="1"/>
  <c r="I560" i="1" s="1"/>
  <c r="K560" i="1" s="1"/>
  <c r="G489" i="1"/>
  <c r="I489" i="1" s="1"/>
  <c r="K489" i="1" s="1"/>
  <c r="G327" i="1"/>
  <c r="I327" i="1" s="1"/>
  <c r="K327" i="1" s="1"/>
  <c r="G256" i="1"/>
  <c r="I256" i="1" s="1"/>
  <c r="K256" i="1" s="1"/>
  <c r="G103" i="1"/>
  <c r="I103" i="1" s="1"/>
  <c r="K103" i="1" s="1"/>
  <c r="G250" i="1"/>
  <c r="I250" i="1" s="1"/>
  <c r="G479" i="1"/>
  <c r="G407" i="1"/>
  <c r="I407" i="1" s="1"/>
  <c r="K407" i="1" s="1"/>
  <c r="G559" i="1"/>
  <c r="I559" i="1" s="1"/>
  <c r="K559" i="1" s="1"/>
  <c r="G488" i="1"/>
  <c r="I488" i="1" s="1"/>
  <c r="K488" i="1" s="1"/>
  <c r="G326" i="1"/>
  <c r="I326" i="1" s="1"/>
  <c r="K326" i="1" s="1"/>
  <c r="G255" i="1"/>
  <c r="I255" i="1" s="1"/>
  <c r="G104" i="1"/>
  <c r="I104" i="1" s="1"/>
  <c r="K104" i="1" s="1"/>
  <c r="G409" i="1"/>
  <c r="I409" i="1" s="1"/>
  <c r="G174" i="1"/>
  <c r="I174" i="1" s="1"/>
  <c r="K174" i="1" s="1"/>
  <c r="G566" i="1"/>
  <c r="I566" i="1" s="1"/>
  <c r="K566" i="1" s="1"/>
  <c r="G558" i="1"/>
  <c r="I558" i="1" s="1"/>
  <c r="G487" i="1"/>
  <c r="I487" i="1" s="1"/>
  <c r="K487" i="1" s="1"/>
  <c r="G325" i="1"/>
  <c r="G254" i="1"/>
  <c r="I254" i="1" s="1"/>
  <c r="K254" i="1" s="1"/>
  <c r="G94" i="1"/>
  <c r="G333" i="1"/>
  <c r="I333" i="1" s="1"/>
  <c r="K333" i="1" s="1"/>
  <c r="G557" i="1"/>
  <c r="I557" i="1" s="1"/>
  <c r="K557" i="1" s="1"/>
  <c r="G486" i="1"/>
  <c r="I486" i="1" s="1"/>
  <c r="G253" i="1"/>
  <c r="I253" i="1" s="1"/>
  <c r="K253" i="1" s="1"/>
  <c r="G15" i="1"/>
  <c r="I15" i="1" s="1"/>
  <c r="K15" i="1" s="1"/>
  <c r="G173" i="1"/>
  <c r="I173" i="1" s="1"/>
  <c r="K173" i="1" s="1"/>
  <c r="G556" i="1"/>
  <c r="G485" i="1"/>
  <c r="I485" i="1" s="1"/>
  <c r="K485" i="1" s="1"/>
  <c r="G252" i="1"/>
  <c r="I252" i="1" s="1"/>
  <c r="K252" i="1" s="1"/>
  <c r="G181" i="1"/>
  <c r="I181" i="1" s="1"/>
  <c r="K181" i="1" s="1"/>
  <c r="G95" i="1"/>
  <c r="I95" i="1" s="1"/>
  <c r="K95" i="1" s="1"/>
  <c r="G332" i="1"/>
  <c r="I332" i="1" s="1"/>
  <c r="G484" i="1"/>
  <c r="I484" i="1" s="1"/>
  <c r="K484" i="1" s="1"/>
  <c r="G251" i="1"/>
  <c r="I251" i="1" s="1"/>
  <c r="K251" i="1" s="1"/>
  <c r="G180" i="1"/>
  <c r="I180" i="1" s="1"/>
  <c r="K180" i="1" s="1"/>
  <c r="G36" i="1"/>
  <c r="I36" i="1" s="1"/>
  <c r="K36" i="1" s="1"/>
  <c r="G481" i="1"/>
  <c r="I481" i="1" s="1"/>
  <c r="K481" i="1" s="1"/>
  <c r="G406" i="1"/>
  <c r="I406" i="1" s="1"/>
  <c r="K406" i="1" s="1"/>
  <c r="G172" i="1"/>
  <c r="I172" i="1" s="1"/>
  <c r="G96" i="1"/>
  <c r="I96" i="1" s="1"/>
  <c r="G404" i="1"/>
  <c r="I404" i="1" s="1"/>
  <c r="K404" i="1" s="1"/>
  <c r="G171" i="1"/>
  <c r="G97" i="1"/>
  <c r="I97" i="1" s="1"/>
  <c r="K97" i="1" s="1"/>
  <c r="G408" i="1"/>
  <c r="I408" i="1" s="1"/>
  <c r="K408" i="1" s="1"/>
  <c r="G29" i="1"/>
  <c r="I29" i="1" s="1"/>
  <c r="G335" i="1"/>
  <c r="I335" i="1" s="1"/>
  <c r="K335" i="1" s="1"/>
  <c r="G98" i="1"/>
  <c r="I98" i="1" s="1"/>
  <c r="K98" i="1" s="1"/>
  <c r="G482" i="1"/>
  <c r="I482" i="1" s="1"/>
  <c r="G411" i="1"/>
  <c r="I411" i="1" s="1"/>
  <c r="K411" i="1" s="1"/>
  <c r="G249" i="1"/>
  <c r="I249" i="1" s="1"/>
  <c r="K249" i="1" s="1"/>
  <c r="G178" i="1"/>
  <c r="I178" i="1" s="1"/>
  <c r="G57" i="1"/>
  <c r="I57" i="1" s="1"/>
  <c r="K57" i="1" s="1"/>
  <c r="G410" i="1"/>
  <c r="I410" i="1" s="1"/>
  <c r="G177" i="1"/>
  <c r="I177" i="1" s="1"/>
  <c r="K177" i="1" s="1"/>
  <c r="G334" i="1"/>
  <c r="I334" i="1" s="1"/>
  <c r="K334" i="1" s="1"/>
  <c r="G564" i="1"/>
  <c r="I564" i="1" s="1"/>
  <c r="K564" i="1" s="1"/>
  <c r="G402" i="1"/>
  <c r="G331" i="1"/>
  <c r="I331" i="1" s="1"/>
  <c r="K331" i="1" s="1"/>
  <c r="G99" i="1"/>
  <c r="I99" i="1" s="1"/>
  <c r="K99" i="1" s="1"/>
  <c r="G50" i="1"/>
  <c r="I50" i="1" s="1"/>
  <c r="K50" i="1" s="1"/>
  <c r="G543" i="1"/>
  <c r="I543" i="1" s="1"/>
  <c r="K543" i="1" s="1"/>
  <c r="G381" i="1"/>
  <c r="I381" i="1" s="1"/>
  <c r="K381" i="1" s="1"/>
  <c r="G310" i="1"/>
  <c r="I310" i="1" s="1"/>
  <c r="G76" i="1"/>
  <c r="I76" i="1" s="1"/>
  <c r="G309" i="1"/>
  <c r="I309" i="1" s="1"/>
  <c r="K309" i="1" s="1"/>
  <c r="G77" i="1"/>
  <c r="I77" i="1" s="1"/>
  <c r="K77" i="1" s="1"/>
  <c r="G156" i="1"/>
  <c r="I156" i="1" s="1"/>
  <c r="G459" i="1"/>
  <c r="I459" i="1" s="1"/>
  <c r="K459" i="1" s="1"/>
  <c r="G542" i="1"/>
  <c r="I542" i="1" s="1"/>
  <c r="K542" i="1" s="1"/>
  <c r="G380" i="1"/>
  <c r="G159" i="1"/>
  <c r="I159" i="1" s="1"/>
  <c r="K159" i="1" s="1"/>
  <c r="G389" i="1"/>
  <c r="I389" i="1" s="1"/>
  <c r="K389" i="1" s="1"/>
  <c r="G313" i="1"/>
  <c r="I313" i="1" s="1"/>
  <c r="K313" i="1" s="1"/>
  <c r="G541" i="1"/>
  <c r="I541" i="1" s="1"/>
  <c r="G308" i="1"/>
  <c r="I308" i="1" s="1"/>
  <c r="K308" i="1" s="1"/>
  <c r="G78" i="1"/>
  <c r="I78" i="1" s="1"/>
  <c r="K78" i="1" s="1"/>
  <c r="G20" i="1"/>
  <c r="I20" i="1" s="1"/>
  <c r="G539" i="1"/>
  <c r="I539" i="1" s="1"/>
  <c r="K539" i="1" s="1"/>
  <c r="G154" i="1"/>
  <c r="I154" i="1" s="1"/>
  <c r="K154" i="1" s="1"/>
  <c r="G312" i="1"/>
  <c r="I312" i="1" s="1"/>
  <c r="K312" i="1" s="1"/>
  <c r="G540" i="1"/>
  <c r="I540" i="1" s="1"/>
  <c r="K540" i="1" s="1"/>
  <c r="G307" i="1"/>
  <c r="I307" i="1" s="1"/>
  <c r="K307" i="1" s="1"/>
  <c r="G236" i="1"/>
  <c r="I236" i="1" s="1"/>
  <c r="K236" i="1" s="1"/>
  <c r="G79" i="1"/>
  <c r="I79" i="1" s="1"/>
  <c r="G41" i="1"/>
  <c r="I41" i="1" s="1"/>
  <c r="G384" i="1"/>
  <c r="I384" i="1" s="1"/>
  <c r="K384" i="1" s="1"/>
  <c r="G306" i="1"/>
  <c r="I306" i="1" s="1"/>
  <c r="K306" i="1" s="1"/>
  <c r="G235" i="1"/>
  <c r="I235" i="1" s="1"/>
  <c r="K235" i="1" s="1"/>
  <c r="G80" i="1"/>
  <c r="I80" i="1" s="1"/>
  <c r="K80" i="1" s="1"/>
  <c r="G467" i="1"/>
  <c r="I467" i="1" s="1"/>
  <c r="K467" i="1" s="1"/>
  <c r="G457" i="1"/>
  <c r="G538" i="1"/>
  <c r="I538" i="1" s="1"/>
  <c r="K538" i="1" s="1"/>
  <c r="G305" i="1"/>
  <c r="I305" i="1" s="1"/>
  <c r="K305" i="1" s="1"/>
  <c r="G234" i="1"/>
  <c r="I234" i="1" s="1"/>
  <c r="K234" i="1" s="1"/>
  <c r="G81" i="1"/>
  <c r="I81" i="1" s="1"/>
  <c r="K81" i="1" s="1"/>
  <c r="G534" i="1"/>
  <c r="G227" i="1"/>
  <c r="I227" i="1" s="1"/>
  <c r="K227" i="1" s="1"/>
  <c r="G74" i="1"/>
  <c r="I74" i="1" s="1"/>
  <c r="K74" i="1" s="1"/>
  <c r="G537" i="1"/>
  <c r="I537" i="1" s="1"/>
  <c r="K537" i="1" s="1"/>
  <c r="G466" i="1"/>
  <c r="I466" i="1" s="1"/>
  <c r="K466" i="1" s="1"/>
  <c r="G304" i="1"/>
  <c r="I304" i="1" s="1"/>
  <c r="K304" i="1" s="1"/>
  <c r="G233" i="1"/>
  <c r="I233" i="1" s="1"/>
  <c r="G82" i="1"/>
  <c r="I82" i="1" s="1"/>
  <c r="K82" i="1" s="1"/>
  <c r="G463" i="1"/>
  <c r="I463" i="1" s="1"/>
  <c r="K463" i="1" s="1"/>
  <c r="G390" i="1"/>
  <c r="I390" i="1" s="1"/>
  <c r="K390" i="1" s="1"/>
  <c r="G226" i="1"/>
  <c r="G386" i="1"/>
  <c r="I386" i="1" s="1"/>
  <c r="K386" i="1" s="1"/>
  <c r="G385" i="1"/>
  <c r="I385" i="1" s="1"/>
  <c r="K385" i="1" s="1"/>
  <c r="G73" i="1"/>
  <c r="I73" i="1" s="1"/>
  <c r="K73" i="1" s="1"/>
  <c r="G536" i="1"/>
  <c r="I536" i="1" s="1"/>
  <c r="G465" i="1"/>
  <c r="I465" i="1" s="1"/>
  <c r="K465" i="1" s="1"/>
  <c r="G303" i="1"/>
  <c r="G232" i="1"/>
  <c r="I232" i="1" s="1"/>
  <c r="K232" i="1" s="1"/>
  <c r="G72" i="1"/>
  <c r="G157" i="1"/>
  <c r="I157" i="1" s="1"/>
  <c r="K157" i="1" s="1"/>
  <c r="G55" i="1"/>
  <c r="I55" i="1" s="1"/>
  <c r="G155" i="1"/>
  <c r="I155" i="1" s="1"/>
  <c r="K155" i="1" s="1"/>
  <c r="G387" i="1"/>
  <c r="I387" i="1" s="1"/>
  <c r="G151" i="1"/>
  <c r="I151" i="1" s="1"/>
  <c r="K151" i="1" s="1"/>
  <c r="G150" i="1"/>
  <c r="I150" i="1" s="1"/>
  <c r="G535" i="1"/>
  <c r="I535" i="1" s="1"/>
  <c r="K535" i="1" s="1"/>
  <c r="G464" i="1"/>
  <c r="I464" i="1" s="1"/>
  <c r="G231" i="1"/>
  <c r="I231" i="1" s="1"/>
  <c r="K231" i="1" s="1"/>
  <c r="G13" i="1"/>
  <c r="I13" i="1" s="1"/>
  <c r="G388" i="1"/>
  <c r="I388" i="1" s="1"/>
  <c r="K388" i="1" s="1"/>
  <c r="G153" i="1"/>
  <c r="I153" i="1" s="1"/>
  <c r="K153" i="1" s="1"/>
  <c r="G230" i="1"/>
  <c r="I230" i="1" s="1"/>
  <c r="K230" i="1" s="1"/>
  <c r="G460" i="1"/>
  <c r="I460" i="1" s="1"/>
  <c r="K460" i="1" s="1"/>
  <c r="G458" i="1"/>
  <c r="I458" i="1" s="1"/>
  <c r="G383" i="1"/>
  <c r="I383" i="1" s="1"/>
  <c r="K383" i="1" s="1"/>
  <c r="G462" i="1"/>
  <c r="I462" i="1" s="1"/>
  <c r="K462" i="1" s="1"/>
  <c r="G229" i="1"/>
  <c r="I229" i="1" s="1"/>
  <c r="K229" i="1" s="1"/>
  <c r="G158" i="1"/>
  <c r="I158" i="1" s="1"/>
  <c r="K158" i="1" s="1"/>
  <c r="G34" i="1"/>
  <c r="I34" i="1" s="1"/>
  <c r="G461" i="1"/>
  <c r="I461" i="1" s="1"/>
  <c r="K461" i="1" s="1"/>
  <c r="G228" i="1"/>
  <c r="I228" i="1" s="1"/>
  <c r="G27" i="1"/>
  <c r="I27" i="1" s="1"/>
  <c r="K27" i="1" s="1"/>
  <c r="G48" i="1"/>
  <c r="I48" i="1" s="1"/>
  <c r="K48" i="1" s="1"/>
  <c r="G152" i="1"/>
  <c r="I152" i="1" s="1"/>
  <c r="K152" i="1" s="1"/>
  <c r="G544" i="1"/>
  <c r="I544" i="1" s="1"/>
  <c r="K544" i="1" s="1"/>
  <c r="G382" i="1"/>
  <c r="I382" i="1" s="1"/>
  <c r="G311" i="1"/>
  <c r="I311" i="1" s="1"/>
  <c r="K311" i="1" s="1"/>
  <c r="G149" i="1"/>
  <c r="G75" i="1"/>
  <c r="I75" i="1" s="1"/>
  <c r="K75" i="1" s="1"/>
  <c r="G472" i="1"/>
  <c r="I472" i="1" s="1"/>
  <c r="K472" i="1" s="1"/>
  <c r="G401" i="1"/>
  <c r="I401" i="1" s="1"/>
  <c r="K401" i="1" s="1"/>
  <c r="G239" i="1"/>
  <c r="I239" i="1" s="1"/>
  <c r="K239" i="1" s="1"/>
  <c r="G168" i="1"/>
  <c r="I168" i="1" s="1"/>
  <c r="K168" i="1" s="1"/>
  <c r="G551" i="1"/>
  <c r="I551" i="1" s="1"/>
  <c r="K551" i="1" s="1"/>
  <c r="G90" i="1"/>
  <c r="I90" i="1" s="1"/>
  <c r="G92" i="1"/>
  <c r="I92" i="1" s="1"/>
  <c r="K92" i="1" s="1"/>
  <c r="G548" i="1"/>
  <c r="I548" i="1" s="1"/>
  <c r="K548" i="1" s="1"/>
  <c r="G475" i="1"/>
  <c r="I475" i="1" s="1"/>
  <c r="G241" i="1"/>
  <c r="I241" i="1" s="1"/>
  <c r="K241" i="1" s="1"/>
  <c r="G471" i="1"/>
  <c r="I471" i="1" s="1"/>
  <c r="K471" i="1" s="1"/>
  <c r="G400" i="1"/>
  <c r="I400" i="1" s="1"/>
  <c r="K400" i="1" s="1"/>
  <c r="G238" i="1"/>
  <c r="I238" i="1" s="1"/>
  <c r="G167" i="1"/>
  <c r="I167" i="1" s="1"/>
  <c r="G21" i="1"/>
  <c r="I21" i="1" s="1"/>
  <c r="K21" i="1" s="1"/>
  <c r="G550" i="1"/>
  <c r="I550" i="1" s="1"/>
  <c r="G243" i="1"/>
  <c r="I243" i="1" s="1"/>
  <c r="K243" i="1" s="1"/>
  <c r="G470" i="1"/>
  <c r="I470" i="1" s="1"/>
  <c r="G399" i="1"/>
  <c r="I399" i="1" s="1"/>
  <c r="K399" i="1" s="1"/>
  <c r="G237" i="1"/>
  <c r="G166" i="1"/>
  <c r="I166" i="1" s="1"/>
  <c r="K166" i="1" s="1"/>
  <c r="G246" i="1"/>
  <c r="I246" i="1" s="1"/>
  <c r="K246" i="1" s="1"/>
  <c r="G469" i="1"/>
  <c r="I469" i="1" s="1"/>
  <c r="K469" i="1" s="1"/>
  <c r="G398" i="1"/>
  <c r="I398" i="1" s="1"/>
  <c r="G165" i="1"/>
  <c r="I165" i="1" s="1"/>
  <c r="K165" i="1" s="1"/>
  <c r="G42" i="1"/>
  <c r="I42" i="1" s="1"/>
  <c r="K42" i="1" s="1"/>
  <c r="G164" i="1"/>
  <c r="I164" i="1" s="1"/>
  <c r="K164" i="1" s="1"/>
  <c r="G87" i="1"/>
  <c r="I87" i="1" s="1"/>
  <c r="K87" i="1" s="1"/>
  <c r="G89" i="1"/>
  <c r="I89" i="1" s="1"/>
  <c r="K89" i="1" s="1"/>
  <c r="G244" i="1"/>
  <c r="I244" i="1" s="1"/>
  <c r="G28" i="1"/>
  <c r="I28" i="1" s="1"/>
  <c r="K28" i="1" s="1"/>
  <c r="G545" i="1"/>
  <c r="G468" i="1"/>
  <c r="G397" i="1"/>
  <c r="I397" i="1" s="1"/>
  <c r="K397" i="1" s="1"/>
  <c r="G392" i="1"/>
  <c r="I392" i="1" s="1"/>
  <c r="G319" i="1"/>
  <c r="I319" i="1" s="1"/>
  <c r="K319" i="1" s="1"/>
  <c r="G317" i="1"/>
  <c r="I317" i="1" s="1"/>
  <c r="K317" i="1" s="1"/>
  <c r="G478" i="1"/>
  <c r="I478" i="1" s="1"/>
  <c r="K478" i="1" s="1"/>
  <c r="G476" i="1"/>
  <c r="I476" i="1" s="1"/>
  <c r="K476" i="1" s="1"/>
  <c r="G314" i="1"/>
  <c r="G396" i="1"/>
  <c r="I396" i="1" s="1"/>
  <c r="K396" i="1" s="1"/>
  <c r="G163" i="1"/>
  <c r="I163" i="1" s="1"/>
  <c r="K163" i="1" s="1"/>
  <c r="G245" i="1"/>
  <c r="I245" i="1" s="1"/>
  <c r="K245" i="1" s="1"/>
  <c r="G547" i="1"/>
  <c r="I547" i="1" s="1"/>
  <c r="K547" i="1" s="1"/>
  <c r="G474" i="1"/>
  <c r="I474" i="1" s="1"/>
  <c r="K474" i="1" s="1"/>
  <c r="G395" i="1"/>
  <c r="I395" i="1" s="1"/>
  <c r="K395" i="1" s="1"/>
  <c r="G324" i="1"/>
  <c r="I324" i="1" s="1"/>
  <c r="K324" i="1" s="1"/>
  <c r="G162" i="1"/>
  <c r="I162" i="1" s="1"/>
  <c r="G84" i="1"/>
  <c r="I84" i="1" s="1"/>
  <c r="K84" i="1" s="1"/>
  <c r="G93" i="1"/>
  <c r="I93" i="1" s="1"/>
  <c r="K93" i="1" s="1"/>
  <c r="G242" i="1"/>
  <c r="I242" i="1" s="1"/>
  <c r="K242" i="1" s="1"/>
  <c r="G394" i="1"/>
  <c r="I394" i="1" s="1"/>
  <c r="K394" i="1" s="1"/>
  <c r="G323" i="1"/>
  <c r="I323" i="1" s="1"/>
  <c r="K323" i="1" s="1"/>
  <c r="G161" i="1"/>
  <c r="I161" i="1" s="1"/>
  <c r="K161" i="1" s="1"/>
  <c r="G85" i="1"/>
  <c r="I85" i="1" s="1"/>
  <c r="K85" i="1" s="1"/>
  <c r="G14" i="1"/>
  <c r="I14" i="1" s="1"/>
  <c r="K14" i="1" s="1"/>
  <c r="G322" i="1"/>
  <c r="I322" i="1" s="1"/>
  <c r="K322" i="1" s="1"/>
  <c r="G86" i="1"/>
  <c r="I86" i="1" s="1"/>
  <c r="K86" i="1" s="1"/>
  <c r="G35" i="1"/>
  <c r="I35" i="1" s="1"/>
  <c r="K35" i="1" s="1"/>
  <c r="G247" i="1"/>
  <c r="I247" i="1" s="1"/>
  <c r="K247" i="1" s="1"/>
  <c r="G83" i="1"/>
  <c r="G555" i="1"/>
  <c r="I555" i="1" s="1"/>
  <c r="K555" i="1" s="1"/>
  <c r="G393" i="1"/>
  <c r="I393" i="1" s="1"/>
  <c r="K393" i="1" s="1"/>
  <c r="G160" i="1"/>
  <c r="G321" i="1"/>
  <c r="I321" i="1" s="1"/>
  <c r="G549" i="1"/>
  <c r="I549" i="1" s="1"/>
  <c r="K549" i="1" s="1"/>
  <c r="G554" i="1"/>
  <c r="I554" i="1" s="1"/>
  <c r="K554" i="1" s="1"/>
  <c r="G56" i="1"/>
  <c r="I56" i="1" s="1"/>
  <c r="K56" i="1" s="1"/>
  <c r="G91" i="1"/>
  <c r="I91" i="1" s="1"/>
  <c r="K91" i="1" s="1"/>
  <c r="G546" i="1"/>
  <c r="I546" i="1" s="1"/>
  <c r="K546" i="1" s="1"/>
  <c r="G49" i="1"/>
  <c r="I49" i="1" s="1"/>
  <c r="G553" i="1"/>
  <c r="I553" i="1" s="1"/>
  <c r="K553" i="1" s="1"/>
  <c r="G391" i="1"/>
  <c r="G320" i="1"/>
  <c r="I320" i="1" s="1"/>
  <c r="K320" i="1" s="1"/>
  <c r="G88" i="1"/>
  <c r="I88" i="1" s="1"/>
  <c r="K88" i="1" s="1"/>
  <c r="G552" i="1"/>
  <c r="I552" i="1" s="1"/>
  <c r="G318" i="1"/>
  <c r="I318" i="1" s="1"/>
  <c r="K318" i="1" s="1"/>
  <c r="G316" i="1"/>
  <c r="I316" i="1" s="1"/>
  <c r="G477" i="1"/>
  <c r="I477" i="1" s="1"/>
  <c r="K477" i="1" s="1"/>
  <c r="G170" i="1"/>
  <c r="I170" i="1" s="1"/>
  <c r="K170" i="1" s="1"/>
  <c r="G315" i="1"/>
  <c r="I315" i="1" s="1"/>
  <c r="K315" i="1" s="1"/>
  <c r="G473" i="1"/>
  <c r="I473" i="1" s="1"/>
  <c r="K473" i="1" s="1"/>
  <c r="G240" i="1"/>
  <c r="I240" i="1" s="1"/>
  <c r="K240" i="1" s="1"/>
  <c r="G169" i="1"/>
  <c r="I169" i="1" s="1"/>
  <c r="K169" i="1" s="1"/>
  <c r="K567" i="1"/>
  <c r="I54" i="1" l="1"/>
  <c r="K54" i="1" s="1"/>
  <c r="K55" i="1"/>
  <c r="I47" i="1"/>
  <c r="K47" i="1" s="1"/>
  <c r="K49" i="1"/>
  <c r="I83" i="1"/>
  <c r="I534" i="1"/>
  <c r="K536" i="1"/>
  <c r="I556" i="1"/>
  <c r="K558" i="1"/>
  <c r="I402" i="1"/>
  <c r="K410" i="1"/>
  <c r="I160" i="1"/>
  <c r="K162" i="1"/>
  <c r="I457" i="1"/>
  <c r="K458" i="1"/>
  <c r="I12" i="1"/>
  <c r="K12" i="1" s="1"/>
  <c r="K13" i="1"/>
  <c r="I72" i="1"/>
  <c r="K76" i="1"/>
  <c r="I40" i="1"/>
  <c r="K40" i="1" s="1"/>
  <c r="K41" i="1"/>
  <c r="I26" i="1"/>
  <c r="K26" i="1" s="1"/>
  <c r="K29" i="1"/>
  <c r="I248" i="1"/>
  <c r="K250" i="1"/>
  <c r="I303" i="1"/>
  <c r="I226" i="1"/>
  <c r="K228" i="1"/>
  <c r="I33" i="1"/>
  <c r="K33" i="1" s="1"/>
  <c r="K34" i="1"/>
  <c r="I479" i="1"/>
  <c r="K482" i="1"/>
  <c r="I314" i="1"/>
  <c r="K316" i="1"/>
  <c r="I468" i="1"/>
  <c r="K470" i="1"/>
  <c r="I380" i="1"/>
  <c r="K382" i="1"/>
  <c r="I545" i="1"/>
  <c r="K550" i="1"/>
  <c r="I149" i="1"/>
  <c r="K150" i="1"/>
  <c r="I94" i="1"/>
  <c r="K96" i="1"/>
  <c r="I391" i="1"/>
  <c r="K392" i="1"/>
  <c r="I171" i="1"/>
  <c r="K172" i="1"/>
  <c r="I325" i="1"/>
  <c r="K330" i="1"/>
  <c r="I237" i="1"/>
  <c r="K238" i="1"/>
  <c r="I19" i="1"/>
  <c r="K19" i="1" s="1"/>
  <c r="K20" i="1"/>
  <c r="K563" i="1"/>
  <c r="K556" i="1" l="1"/>
  <c r="K552" i="1" l="1"/>
  <c r="K545" i="1" l="1"/>
  <c r="K541" i="1" l="1"/>
  <c r="K534" i="1" l="1"/>
  <c r="K530" i="1" l="1"/>
  <c r="K523" i="1" l="1"/>
  <c r="K519" i="1" l="1"/>
  <c r="K512" i="1" l="1"/>
  <c r="K508" i="1" l="1"/>
  <c r="K501" i="1" l="1"/>
  <c r="K497" i="1" l="1"/>
  <c r="K490" i="1" l="1"/>
  <c r="K486" i="1" l="1"/>
  <c r="K479" i="1" l="1"/>
  <c r="K475" i="1" l="1"/>
  <c r="K468" i="1" l="1"/>
  <c r="K464" i="1" l="1"/>
  <c r="K457" i="1" l="1"/>
  <c r="K453" i="1" l="1"/>
  <c r="K446" i="1" l="1"/>
  <c r="K442" i="1" l="1"/>
  <c r="K435" i="1" l="1"/>
  <c r="K431" i="1" l="1"/>
  <c r="K424" i="1" l="1"/>
  <c r="K420" i="1" l="1"/>
  <c r="K413" i="1" l="1"/>
  <c r="K409" i="1" l="1"/>
  <c r="K402" i="1" l="1"/>
  <c r="K398" i="1" l="1"/>
  <c r="K391" i="1" l="1"/>
  <c r="K387" i="1" l="1"/>
  <c r="K380" i="1" l="1"/>
  <c r="K376" i="1" l="1"/>
  <c r="K369" i="1" l="1"/>
  <c r="K365" i="1" l="1"/>
  <c r="K358" i="1" l="1"/>
  <c r="K354" i="1" l="1"/>
  <c r="K347" i="1" l="1"/>
  <c r="K343" i="1" l="1"/>
  <c r="K336" i="1" l="1"/>
  <c r="K332" i="1" l="1"/>
  <c r="K325" i="1" l="1"/>
  <c r="K321" i="1" l="1"/>
  <c r="K314" i="1" l="1"/>
  <c r="K310" i="1" l="1"/>
  <c r="K303" i="1" l="1"/>
  <c r="K299" i="1" l="1"/>
  <c r="K292" i="1" l="1"/>
  <c r="K288" i="1" l="1"/>
  <c r="K281" i="1" l="1"/>
  <c r="K277" i="1" l="1"/>
  <c r="K270" i="1" l="1"/>
  <c r="K266" i="1" l="1"/>
  <c r="K259" i="1" l="1"/>
  <c r="K255" i="1" l="1"/>
  <c r="K248" i="1" l="1"/>
  <c r="K244" i="1" l="1"/>
  <c r="K237" i="1" l="1"/>
  <c r="K233" i="1" l="1"/>
  <c r="K226" i="1" l="1"/>
  <c r="K222" i="1" l="1"/>
  <c r="K215" i="1" l="1"/>
  <c r="K211" i="1" l="1"/>
  <c r="K204" i="1" l="1"/>
  <c r="K200" i="1" l="1"/>
  <c r="K193" i="1" l="1"/>
  <c r="K189" i="1" l="1"/>
  <c r="K182" i="1" l="1"/>
  <c r="K178" i="1" l="1"/>
  <c r="K171" i="1" l="1"/>
  <c r="K167" i="1" l="1"/>
  <c r="K160" i="1" l="1"/>
  <c r="K156" i="1" l="1"/>
  <c r="K149" i="1" l="1"/>
  <c r="K145" i="1" l="1"/>
  <c r="K138" i="1" l="1"/>
  <c r="K134" i="1" l="1"/>
  <c r="K127" i="1" l="1"/>
  <c r="K123" i="1" l="1"/>
  <c r="K116" i="1" l="1"/>
  <c r="K112" i="1" l="1"/>
  <c r="K105" i="1" l="1"/>
  <c r="K101" i="1" l="1"/>
  <c r="K94" i="1" l="1"/>
  <c r="K90" i="1" l="1"/>
  <c r="K83" i="1" l="1"/>
  <c r="K79" i="1" l="1"/>
  <c r="K72" i="1" l="1"/>
  <c r="I61" i="1" l="1"/>
  <c r="K61" i="1" s="1"/>
  <c r="K68" i="1"/>
</calcChain>
</file>

<file path=xl/sharedStrings.xml><?xml version="1.0" encoding="utf-8"?>
<sst xmlns="http://schemas.openxmlformats.org/spreadsheetml/2006/main" count="756" uniqueCount="57">
  <si>
    <t>Phase 1a</t>
  </si>
  <si>
    <t>1a.1</t>
  </si>
  <si>
    <t>1a.2</t>
  </si>
  <si>
    <t>1a.3</t>
  </si>
  <si>
    <t>Phase 1b</t>
  </si>
  <si>
    <t>1b.1</t>
  </si>
  <si>
    <t>1b.2</t>
  </si>
  <si>
    <t>1b.3</t>
  </si>
  <si>
    <t xml:space="preserve"> </t>
  </si>
  <si>
    <t>2a.1</t>
  </si>
  <si>
    <t>2a.2</t>
  </si>
  <si>
    <t>2a.3</t>
  </si>
  <si>
    <t>2a.4</t>
  </si>
  <si>
    <t>Phase 2a</t>
  </si>
  <si>
    <t>rien</t>
  </si>
  <si>
    <t>….</t>
  </si>
  <si>
    <t>1a-1</t>
  </si>
  <si>
    <t>1a-0</t>
  </si>
  <si>
    <t>1b-0</t>
  </si>
  <si>
    <t>2a-0</t>
  </si>
  <si>
    <t>1a-2</t>
  </si>
  <si>
    <t>1a-3</t>
  </si>
  <si>
    <t>1a-4</t>
  </si>
  <si>
    <t>1a-5</t>
  </si>
  <si>
    <t>1a-6</t>
  </si>
  <si>
    <t>2a-2</t>
  </si>
  <si>
    <t>1b-1</t>
  </si>
  <si>
    <t>1b-2</t>
  </si>
  <si>
    <t>1b-3</t>
  </si>
  <si>
    <t>1b-4</t>
  </si>
  <si>
    <t>1b-5</t>
  </si>
  <si>
    <t>1b-6</t>
  </si>
  <si>
    <t>2a-1</t>
  </si>
  <si>
    <t>2a-3</t>
  </si>
  <si>
    <t>2a-4</t>
  </si>
  <si>
    <t>2a-5</t>
  </si>
  <si>
    <t>2a-6</t>
  </si>
  <si>
    <t>2a-7</t>
  </si>
  <si>
    <t>2a-8</t>
  </si>
  <si>
    <t>2a-9</t>
  </si>
  <si>
    <t>2a-10</t>
  </si>
  <si>
    <t>Simulations à affectuer</t>
  </si>
  <si>
    <t>En principe, il suffit de stocker les définition et de faire tourner des boucles dans le code.</t>
  </si>
  <si>
    <t>Probabilité</t>
  </si>
  <si>
    <t>No</t>
  </si>
  <si>
    <t>Definition scénario/phase</t>
  </si>
  <si>
    <t>Probabilité combinée</t>
  </si>
  <si>
    <t>c'est 1- la probabilité de recouper des conduits</t>
  </si>
  <si>
    <t>La probabilité de non recoupement ne doit pas être écrite dans le tableau, mais calculée à partir des probabilités de recoupement (1- prob recoup)</t>
  </si>
  <si>
    <t>Prob. 1a</t>
  </si>
  <si>
    <t>Prob. 1b</t>
  </si>
  <si>
    <t>Prob. 2a</t>
  </si>
  <si>
    <t>Portail Est</t>
  </si>
  <si>
    <t>Fenster</t>
  </si>
  <si>
    <t>Entw.</t>
  </si>
  <si>
    <t>Qsim (T5) (aléatoire pour l'essai)</t>
  </si>
  <si>
    <t>Danger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</si>
</sst>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168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Débit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simul_1a_1b_2a!$J$61:$J$599</c:f>
              <c:numCache>
                <c:formatCode>General</c:formatCode>
                <c:ptCount val="539"/>
                <c:pt idx="0">
                  <c:v>3.9071059795071066</c:v>
                </c:pt>
                <c:pt idx="1">
                  <c:v>0.28653517167982612</c:v>
                </c:pt>
                <c:pt idx="2">
                  <c:v>6.1493310209502372</c:v>
                </c:pt>
                <c:pt idx="3">
                  <c:v>3.962485659068665</c:v>
                </c:pt>
                <c:pt idx="4">
                  <c:v>2.4515578029933218</c:v>
                </c:pt>
                <c:pt idx="5">
                  <c:v>4.236577661185537</c:v>
                </c:pt>
                <c:pt idx="6">
                  <c:v>6.7468865035600807</c:v>
                </c:pt>
                <c:pt idx="7">
                  <c:v>-0.25987360681840688</c:v>
                </c:pt>
                <c:pt idx="8">
                  <c:v>5.9302605132910777</c:v>
                </c:pt>
                <c:pt idx="9">
                  <c:v>6.0960194886944503</c:v>
                </c:pt>
                <c:pt idx="10">
                  <c:v>6.3508073102323319</c:v>
                </c:pt>
                <c:pt idx="11">
                  <c:v>1.0183465711325002</c:v>
                </c:pt>
                <c:pt idx="12">
                  <c:v>1.4862487972615002</c:v>
                </c:pt>
                <c:pt idx="13">
                  <c:v>3.2700989156703311</c:v>
                </c:pt>
                <c:pt idx="14">
                  <c:v>3.4963802091272846</c:v>
                </c:pt>
                <c:pt idx="15">
                  <c:v>6.8755484417760027</c:v>
                </c:pt>
                <c:pt idx="16">
                  <c:v>1.9169470357555043</c:v>
                </c:pt>
                <c:pt idx="17">
                  <c:v>3.3968143452099238</c:v>
                </c:pt>
                <c:pt idx="18">
                  <c:v>5.2519839140214772</c:v>
                </c:pt>
                <c:pt idx="19">
                  <c:v>5.8640703946071957</c:v>
                </c:pt>
                <c:pt idx="20">
                  <c:v>8.5282494025708786</c:v>
                </c:pt>
                <c:pt idx="21">
                  <c:v>2.8790718171393497</c:v>
                </c:pt>
                <c:pt idx="22">
                  <c:v>7.2742327982738413</c:v>
                </c:pt>
                <c:pt idx="23">
                  <c:v>4.0256522046901582</c:v>
                </c:pt>
                <c:pt idx="24">
                  <c:v>5.2206401372637306</c:v>
                </c:pt>
                <c:pt idx="25">
                  <c:v>3.2052166799252579</c:v>
                </c:pt>
                <c:pt idx="26">
                  <c:v>2.0354269478027538</c:v>
                </c:pt>
                <c:pt idx="27">
                  <c:v>3.3119929841190654</c:v>
                </c:pt>
                <c:pt idx="28">
                  <c:v>4.1953682254553053</c:v>
                </c:pt>
                <c:pt idx="29">
                  <c:v>5.0534491403735382</c:v>
                </c:pt>
                <c:pt idx="30">
                  <c:v>4.6891823512241464</c:v>
                </c:pt>
                <c:pt idx="31">
                  <c:v>5.3366891016688047</c:v>
                </c:pt>
                <c:pt idx="32">
                  <c:v>3.0372968811684995</c:v>
                </c:pt>
                <c:pt idx="33">
                  <c:v>4.8363392645708689</c:v>
                </c:pt>
                <c:pt idx="34">
                  <c:v>4.6164481253588541</c:v>
                </c:pt>
                <c:pt idx="35">
                  <c:v>4.7715811693619612</c:v>
                </c:pt>
                <c:pt idx="36">
                  <c:v>4.3672942059239768</c:v>
                </c:pt>
                <c:pt idx="37">
                  <c:v>2.7236242686775376</c:v>
                </c:pt>
                <c:pt idx="38">
                  <c:v>5.010247044047019</c:v>
                </c:pt>
                <c:pt idx="39">
                  <c:v>6.1676273238158767</c:v>
                </c:pt>
                <c:pt idx="40">
                  <c:v>1.5615990192356977</c:v>
                </c:pt>
                <c:pt idx="41">
                  <c:v>5.8679908844722242</c:v>
                </c:pt>
                <c:pt idx="42">
                  <c:v>3.4258114961966668</c:v>
                </c:pt>
                <c:pt idx="43">
                  <c:v>6.0989361855812145</c:v>
                </c:pt>
                <c:pt idx="44">
                  <c:v>7.9755336152247907</c:v>
                </c:pt>
                <c:pt idx="45">
                  <c:v>2.913520911980287</c:v>
                </c:pt>
                <c:pt idx="46">
                  <c:v>5.5611571027929321</c:v>
                </c:pt>
                <c:pt idx="47">
                  <c:v>2.3030990267665121</c:v>
                </c:pt>
                <c:pt idx="48">
                  <c:v>4.3870912939187159</c:v>
                </c:pt>
                <c:pt idx="49">
                  <c:v>2.4207755148812105</c:v>
                </c:pt>
                <c:pt idx="50">
                  <c:v>3.730727732566403</c:v>
                </c:pt>
                <c:pt idx="51">
                  <c:v>3.804904143303494</c:v>
                </c:pt>
                <c:pt idx="52">
                  <c:v>1.7637260927207725</c:v>
                </c:pt>
                <c:pt idx="53">
                  <c:v>1.4527874955558469</c:v>
                </c:pt>
                <c:pt idx="54">
                  <c:v>8.3073406413140773</c:v>
                </c:pt>
                <c:pt idx="55">
                  <c:v>4.0679602138970212</c:v>
                </c:pt>
                <c:pt idx="56">
                  <c:v>6.2783381973496102</c:v>
                </c:pt>
                <c:pt idx="57">
                  <c:v>3.28699825486893</c:v>
                </c:pt>
                <c:pt idx="58">
                  <c:v>3.1107676397142923</c:v>
                </c:pt>
                <c:pt idx="59">
                  <c:v>2.0448875302395626</c:v>
                </c:pt>
                <c:pt idx="60">
                  <c:v>4.4485927321829699</c:v>
                </c:pt>
                <c:pt idx="61">
                  <c:v>1.7701237097628524</c:v>
                </c:pt>
                <c:pt idx="62">
                  <c:v>3.378244898315014</c:v>
                </c:pt>
                <c:pt idx="63">
                  <c:v>0.65757869479170772</c:v>
                </c:pt>
                <c:pt idx="64">
                  <c:v>5.2505878298692377</c:v>
                </c:pt>
                <c:pt idx="65">
                  <c:v>2.9053823248167316</c:v>
                </c:pt>
                <c:pt idx="66">
                  <c:v>5.5186277731635727</c:v>
                </c:pt>
                <c:pt idx="67">
                  <c:v>3.7390603952588468</c:v>
                </c:pt>
                <c:pt idx="68">
                  <c:v>2.52546417904564</c:v>
                </c:pt>
                <c:pt idx="69">
                  <c:v>5.7866058721813847</c:v>
                </c:pt>
                <c:pt idx="70">
                  <c:v>1.8267328915582857</c:v>
                </c:pt>
                <c:pt idx="71">
                  <c:v>6.2055885737888872</c:v>
                </c:pt>
                <c:pt idx="72">
                  <c:v>7.2989365852429957</c:v>
                </c:pt>
                <c:pt idx="73">
                  <c:v>4.7127763430798346</c:v>
                </c:pt>
                <c:pt idx="74">
                  <c:v>2.7140673586495927</c:v>
                </c:pt>
                <c:pt idx="75">
                  <c:v>4.9230772623277641</c:v>
                </c:pt>
                <c:pt idx="76">
                  <c:v>7.4790265215787253</c:v>
                </c:pt>
                <c:pt idx="77">
                  <c:v>4.7624268458841428</c:v>
                </c:pt>
                <c:pt idx="78">
                  <c:v>5.3967496557952792</c:v>
                </c:pt>
                <c:pt idx="79">
                  <c:v>5.0226374406107483</c:v>
                </c:pt>
                <c:pt idx="80">
                  <c:v>4.8800997666267971</c:v>
                </c:pt>
                <c:pt idx="81">
                  <c:v>-0.97456449153416358</c:v>
                </c:pt>
                <c:pt idx="82">
                  <c:v>5.5419647186323004</c:v>
                </c:pt>
                <c:pt idx="83">
                  <c:v>3.4495213111389207</c:v>
                </c:pt>
                <c:pt idx="84">
                  <c:v>3.1600231757529724</c:v>
                </c:pt>
                <c:pt idx="85">
                  <c:v>4.738678198720037</c:v>
                </c:pt>
                <c:pt idx="86">
                  <c:v>2.9149477670653283</c:v>
                </c:pt>
                <c:pt idx="87">
                  <c:v>6.2034121518919143</c:v>
                </c:pt>
                <c:pt idx="88">
                  <c:v>0.61101559681055884</c:v>
                </c:pt>
                <c:pt idx="89">
                  <c:v>1.2719427058765449</c:v>
                </c:pt>
                <c:pt idx="90">
                  <c:v>6.6458792379434914</c:v>
                </c:pt>
                <c:pt idx="91">
                  <c:v>7.3808477219853721</c:v>
                </c:pt>
                <c:pt idx="92">
                  <c:v>3.6810674194165802</c:v>
                </c:pt>
                <c:pt idx="93">
                  <c:v>5.5230905623731523</c:v>
                </c:pt>
                <c:pt idx="94">
                  <c:v>3.9279588808957921</c:v>
                </c:pt>
                <c:pt idx="95">
                  <c:v>1.7138726944231268</c:v>
                </c:pt>
                <c:pt idx="96">
                  <c:v>2.5652212041997329</c:v>
                </c:pt>
                <c:pt idx="97">
                  <c:v>5.4245668769546507</c:v>
                </c:pt>
                <c:pt idx="98">
                  <c:v>5.7701729042679686</c:v>
                </c:pt>
                <c:pt idx="99">
                  <c:v>4.1962140620859589</c:v>
                </c:pt>
                <c:pt idx="100">
                  <c:v>2.7401654485320557</c:v>
                </c:pt>
                <c:pt idx="101">
                  <c:v>8.0104874404427022</c:v>
                </c:pt>
                <c:pt idx="102">
                  <c:v>4.3786170663279282</c:v>
                </c:pt>
                <c:pt idx="103">
                  <c:v>6.0701395052529463</c:v>
                </c:pt>
                <c:pt idx="104">
                  <c:v>3.7937000046115159</c:v>
                </c:pt>
                <c:pt idx="105">
                  <c:v>0.47026114956431497</c:v>
                </c:pt>
                <c:pt idx="106">
                  <c:v>-0.55444974105752909</c:v>
                </c:pt>
                <c:pt idx="107">
                  <c:v>2.4898960195405895</c:v>
                </c:pt>
                <c:pt idx="108">
                  <c:v>5.7941347793859777</c:v>
                </c:pt>
                <c:pt idx="109">
                  <c:v>7.6606484203970044</c:v>
                </c:pt>
                <c:pt idx="110">
                  <c:v>1.6923784380390452</c:v>
                </c:pt>
                <c:pt idx="111">
                  <c:v>5.4520404460369409</c:v>
                </c:pt>
                <c:pt idx="112">
                  <c:v>4.5665582747021141</c:v>
                </c:pt>
                <c:pt idx="113">
                  <c:v>3.3815414107149158</c:v>
                </c:pt>
                <c:pt idx="114">
                  <c:v>7.1254400297080149</c:v>
                </c:pt>
                <c:pt idx="115">
                  <c:v>4.4936274300216752</c:v>
                </c:pt>
                <c:pt idx="116">
                  <c:v>2.0402343881273168</c:v>
                </c:pt>
                <c:pt idx="117">
                  <c:v>8.2671222402300799</c:v>
                </c:pt>
                <c:pt idx="118">
                  <c:v>3.5947341394188514</c:v>
                </c:pt>
                <c:pt idx="119">
                  <c:v>2.5722688330772767</c:v>
                </c:pt>
                <c:pt idx="120">
                  <c:v>3.7092661629313386</c:v>
                </c:pt>
                <c:pt idx="121">
                  <c:v>5.0500447973432241</c:v>
                </c:pt>
                <c:pt idx="122">
                  <c:v>0.66561143667520417</c:v>
                </c:pt>
                <c:pt idx="123">
                  <c:v>5.1626767489355645</c:v>
                </c:pt>
                <c:pt idx="124">
                  <c:v>4.7079422377319373</c:v>
                </c:pt>
                <c:pt idx="125">
                  <c:v>2.0119309384555493</c:v>
                </c:pt>
                <c:pt idx="126">
                  <c:v>2.9816862317325628</c:v>
                </c:pt>
                <c:pt idx="127">
                  <c:v>1.5000488161260481</c:v>
                </c:pt>
                <c:pt idx="128">
                  <c:v>4.5927045282163004</c:v>
                </c:pt>
                <c:pt idx="129">
                  <c:v>6.1059388500883323</c:v>
                </c:pt>
                <c:pt idx="130">
                  <c:v>4.532271230778008</c:v>
                </c:pt>
                <c:pt idx="131">
                  <c:v>6.3713116402203145</c:v>
                </c:pt>
                <c:pt idx="132">
                  <c:v>0.40838056665341593</c:v>
                </c:pt>
                <c:pt idx="133">
                  <c:v>2.9474778682030616</c:v>
                </c:pt>
                <c:pt idx="134">
                  <c:v>2.2237031466485124</c:v>
                </c:pt>
                <c:pt idx="135">
                  <c:v>0.83036562523519653</c:v>
                </c:pt>
                <c:pt idx="136">
                  <c:v>5.3907245167524129</c:v>
                </c:pt>
                <c:pt idx="137">
                  <c:v>4.8872255392334267</c:v>
                </c:pt>
                <c:pt idx="138">
                  <c:v>6.2557032938871924</c:v>
                </c:pt>
                <c:pt idx="139">
                  <c:v>3.6051066381962178</c:v>
                </c:pt>
                <c:pt idx="140">
                  <c:v>5.882531847115164</c:v>
                </c:pt>
                <c:pt idx="141">
                  <c:v>3.4870060723383709</c:v>
                </c:pt>
                <c:pt idx="142">
                  <c:v>4.5700645919802287</c:v>
                </c:pt>
                <c:pt idx="143">
                  <c:v>7.8137282654388081</c:v>
                </c:pt>
                <c:pt idx="144">
                  <c:v>5.7104330374361618</c:v>
                </c:pt>
                <c:pt idx="145">
                  <c:v>4.1077006944548566</c:v>
                </c:pt>
                <c:pt idx="146">
                  <c:v>9.320249974597461</c:v>
                </c:pt>
                <c:pt idx="147">
                  <c:v>0.334020237520956</c:v>
                </c:pt>
                <c:pt idx="148">
                  <c:v>4.2720879631209963</c:v>
                </c:pt>
                <c:pt idx="149">
                  <c:v>2.4714308573613701</c:v>
                </c:pt>
                <c:pt idx="150">
                  <c:v>3.406336704946626</c:v>
                </c:pt>
                <c:pt idx="151">
                  <c:v>3.6442592376448473</c:v>
                </c:pt>
                <c:pt idx="152">
                  <c:v>5.6371561083290249</c:v>
                </c:pt>
                <c:pt idx="153">
                  <c:v>5.1593173214430426</c:v>
                </c:pt>
                <c:pt idx="154">
                  <c:v>4.5177521239633078</c:v>
                </c:pt>
                <c:pt idx="155">
                  <c:v>4.1344928259396516</c:v>
                </c:pt>
                <c:pt idx="156">
                  <c:v>5.0903894550267736</c:v>
                </c:pt>
                <c:pt idx="157">
                  <c:v>8.0468869094964255</c:v>
                </c:pt>
                <c:pt idx="158">
                  <c:v>3.5170516312639615</c:v>
                </c:pt>
                <c:pt idx="159">
                  <c:v>1.6929765401547359</c:v>
                </c:pt>
                <c:pt idx="160">
                  <c:v>2.0712237981467361</c:v>
                </c:pt>
                <c:pt idx="161">
                  <c:v>1.3681884150545707</c:v>
                </c:pt>
                <c:pt idx="162">
                  <c:v>4.7725640665523317</c:v>
                </c:pt>
                <c:pt idx="163">
                  <c:v>1.756336269561094</c:v>
                </c:pt>
                <c:pt idx="164">
                  <c:v>4.6062293093525577</c:v>
                </c:pt>
                <c:pt idx="165">
                  <c:v>6.5631091503716306</c:v>
                </c:pt>
                <c:pt idx="166">
                  <c:v>1.6425757146664517</c:v>
                </c:pt>
                <c:pt idx="167">
                  <c:v>3.9165325432794327</c:v>
                </c:pt>
                <c:pt idx="168">
                  <c:v>6.0294444699194285</c:v>
                </c:pt>
                <c:pt idx="169">
                  <c:v>5.7252175462476629</c:v>
                </c:pt>
                <c:pt idx="170">
                  <c:v>6.490856840012512</c:v>
                </c:pt>
                <c:pt idx="171">
                  <c:v>2.5335502478986625</c:v>
                </c:pt>
                <c:pt idx="172">
                  <c:v>3.9798813350435993</c:v>
                </c:pt>
                <c:pt idx="173">
                  <c:v>1.087660125671587</c:v>
                </c:pt>
                <c:pt idx="174">
                  <c:v>1.6131849517334995</c:v>
                </c:pt>
                <c:pt idx="175">
                  <c:v>5.2852344217421443</c:v>
                </c:pt>
                <c:pt idx="176">
                  <c:v>5.0648285400741306</c:v>
                </c:pt>
                <c:pt idx="177">
                  <c:v>6.2455325010480394</c:v>
                </c:pt>
                <c:pt idx="178">
                  <c:v>6.1696394052421351</c:v>
                </c:pt>
                <c:pt idx="179">
                  <c:v>3.7592693263442269</c:v>
                </c:pt>
                <c:pt idx="180">
                  <c:v>2.1738719004607714</c:v>
                </c:pt>
                <c:pt idx="181">
                  <c:v>3.8946011240129321</c:v>
                </c:pt>
                <c:pt idx="182">
                  <c:v>1.0595689405128232</c:v>
                </c:pt>
                <c:pt idx="183">
                  <c:v>6.5929886255111558</c:v>
                </c:pt>
                <c:pt idx="184">
                  <c:v>4.8505494260885662</c:v>
                </c:pt>
                <c:pt idx="185">
                  <c:v>5.2307292871698658</c:v>
                </c:pt>
                <c:pt idx="186">
                  <c:v>4.8554826493108223</c:v>
                </c:pt>
                <c:pt idx="187">
                  <c:v>3.9252613281938573</c:v>
                </c:pt>
                <c:pt idx="188">
                  <c:v>3.9100499073223562</c:v>
                </c:pt>
                <c:pt idx="189">
                  <c:v>1.9594573386253438</c:v>
                </c:pt>
                <c:pt idx="190">
                  <c:v>6.2459595418371476</c:v>
                </c:pt>
                <c:pt idx="191">
                  <c:v>5.7680468342224795</c:v>
                </c:pt>
                <c:pt idx="192">
                  <c:v>3.6836630597268205</c:v>
                </c:pt>
                <c:pt idx="193">
                  <c:v>4.8117287763033314</c:v>
                </c:pt>
                <c:pt idx="194">
                  <c:v>6.2212637864107849</c:v>
                </c:pt>
                <c:pt idx="195">
                  <c:v>6.8907971412900499</c:v>
                </c:pt>
                <c:pt idx="196">
                  <c:v>5.4404293269523381</c:v>
                </c:pt>
                <c:pt idx="197">
                  <c:v>-1.5089750426018762</c:v>
                </c:pt>
                <c:pt idx="198">
                  <c:v>2.4170792371839571</c:v>
                </c:pt>
                <c:pt idx="199">
                  <c:v>5.6708827811640994</c:v>
                </c:pt>
                <c:pt idx="200">
                  <c:v>5.6581200270555803</c:v>
                </c:pt>
                <c:pt idx="201">
                  <c:v>3.3740879664497823</c:v>
                </c:pt>
                <c:pt idx="202">
                  <c:v>4.1280505842121746</c:v>
                </c:pt>
                <c:pt idx="203">
                  <c:v>2.1834541991127434</c:v>
                </c:pt>
                <c:pt idx="204">
                  <c:v>0.43061642489225171</c:v>
                </c:pt>
                <c:pt idx="205">
                  <c:v>1.7660401367598131</c:v>
                </c:pt>
                <c:pt idx="206">
                  <c:v>5.2403857499935302</c:v>
                </c:pt>
                <c:pt idx="207">
                  <c:v>2.3178337147150829</c:v>
                </c:pt>
                <c:pt idx="208">
                  <c:v>6.5927039095215214</c:v>
                </c:pt>
                <c:pt idx="209">
                  <c:v>7.8904313165176907</c:v>
                </c:pt>
                <c:pt idx="210">
                  <c:v>4.895322833675511</c:v>
                </c:pt>
                <c:pt idx="211">
                  <c:v>5.2950236571281311</c:v>
                </c:pt>
                <c:pt idx="212">
                  <c:v>5.4176376326257003</c:v>
                </c:pt>
                <c:pt idx="213">
                  <c:v>2.9054083784446583</c:v>
                </c:pt>
                <c:pt idx="214">
                  <c:v>3.8618914079787903</c:v>
                </c:pt>
                <c:pt idx="215">
                  <c:v>5.4875863026929821</c:v>
                </c:pt>
                <c:pt idx="216">
                  <c:v>2.4327581946372447</c:v>
                </c:pt>
                <c:pt idx="217">
                  <c:v>2.4997521448765143</c:v>
                </c:pt>
                <c:pt idx="218">
                  <c:v>0.77144039641759843</c:v>
                </c:pt>
                <c:pt idx="219">
                  <c:v>2.9085975125121548</c:v>
                </c:pt>
                <c:pt idx="220">
                  <c:v>-0.48179015999975672</c:v>
                </c:pt>
                <c:pt idx="221">
                  <c:v>3.2459362566266026</c:v>
                </c:pt>
                <c:pt idx="222">
                  <c:v>3.0585531749449721</c:v>
                </c:pt>
                <c:pt idx="223">
                  <c:v>1.7380844389151457</c:v>
                </c:pt>
                <c:pt idx="224">
                  <c:v>1.9605740457898055</c:v>
                </c:pt>
                <c:pt idx="225">
                  <c:v>5.3707505626481922</c:v>
                </c:pt>
                <c:pt idx="226">
                  <c:v>4.467434740567966</c:v>
                </c:pt>
                <c:pt idx="227">
                  <c:v>4.2447308262524714</c:v>
                </c:pt>
                <c:pt idx="228">
                  <c:v>3.4810297060782363</c:v>
                </c:pt>
                <c:pt idx="229">
                  <c:v>6.2879415881136556</c:v>
                </c:pt>
                <c:pt idx="230">
                  <c:v>0.22917441078295253</c:v>
                </c:pt>
                <c:pt idx="231">
                  <c:v>2.9417604727094169</c:v>
                </c:pt>
                <c:pt idx="232">
                  <c:v>2.8976402258523932</c:v>
                </c:pt>
                <c:pt idx="233">
                  <c:v>2.6929588088111465</c:v>
                </c:pt>
                <c:pt idx="234">
                  <c:v>6.4495954258828725</c:v>
                </c:pt>
                <c:pt idx="235">
                  <c:v>5.2898054962831988</c:v>
                </c:pt>
                <c:pt idx="236">
                  <c:v>1.138157728681342</c:v>
                </c:pt>
                <c:pt idx="237">
                  <c:v>3.7646489329807458</c:v>
                </c:pt>
                <c:pt idx="238">
                  <c:v>1.9339938210800973</c:v>
                </c:pt>
                <c:pt idx="239">
                  <c:v>6.8161293117961002</c:v>
                </c:pt>
                <c:pt idx="240">
                  <c:v>2.4243745974434034</c:v>
                </c:pt>
                <c:pt idx="241">
                  <c:v>2.4112037939791766</c:v>
                </c:pt>
                <c:pt idx="242">
                  <c:v>5.9799449524020964</c:v>
                </c:pt>
                <c:pt idx="243">
                  <c:v>5.3273184416379449</c:v>
                </c:pt>
                <c:pt idx="244">
                  <c:v>2.3311984738415337</c:v>
                </c:pt>
                <c:pt idx="245">
                  <c:v>3.519835805735557</c:v>
                </c:pt>
                <c:pt idx="246">
                  <c:v>5.5628340589421992</c:v>
                </c:pt>
                <c:pt idx="247">
                  <c:v>1.4006577866597199</c:v>
                </c:pt>
                <c:pt idx="248">
                  <c:v>5.1316232634028465</c:v>
                </c:pt>
                <c:pt idx="249">
                  <c:v>9.3963168791728613E-2</c:v>
                </c:pt>
                <c:pt idx="250">
                  <c:v>3.9658045352181248</c:v>
                </c:pt>
                <c:pt idx="251">
                  <c:v>6.0229283620775345</c:v>
                </c:pt>
                <c:pt idx="252">
                  <c:v>3.6946629164256635</c:v>
                </c:pt>
                <c:pt idx="253">
                  <c:v>3.1477598704712078</c:v>
                </c:pt>
                <c:pt idx="254">
                  <c:v>3.8681106139200723</c:v>
                </c:pt>
                <c:pt idx="255">
                  <c:v>5.2361106068824697</c:v>
                </c:pt>
                <c:pt idx="256">
                  <c:v>4.7576674679954847</c:v>
                </c:pt>
                <c:pt idx="257">
                  <c:v>4.1609155234353805</c:v>
                </c:pt>
                <c:pt idx="258">
                  <c:v>3.804537289419736</c:v>
                </c:pt>
                <c:pt idx="259">
                  <c:v>6.3914490861713649</c:v>
                </c:pt>
                <c:pt idx="260">
                  <c:v>6.023615841039577</c:v>
                </c:pt>
                <c:pt idx="261">
                  <c:v>2.6473015808315656</c:v>
                </c:pt>
                <c:pt idx="262">
                  <c:v>2.7531286114031372</c:v>
                </c:pt>
                <c:pt idx="263">
                  <c:v>6.9359684750614017</c:v>
                </c:pt>
                <c:pt idx="264">
                  <c:v>2.416476449156054</c:v>
                </c:pt>
                <c:pt idx="265">
                  <c:v>5.1426218373142412</c:v>
                </c:pt>
                <c:pt idx="266">
                  <c:v>3.7403988177593859</c:v>
                </c:pt>
                <c:pt idx="267">
                  <c:v>5.5131151298468728</c:v>
                </c:pt>
                <c:pt idx="268">
                  <c:v>2.4955961160354319</c:v>
                </c:pt>
                <c:pt idx="269">
                  <c:v>4.8666097729872728</c:v>
                </c:pt>
                <c:pt idx="270">
                  <c:v>2.3476548697858437</c:v>
                </c:pt>
                <c:pt idx="271">
                  <c:v>2.206368957058209</c:v>
                </c:pt>
                <c:pt idx="272">
                  <c:v>4.5791766561108114</c:v>
                </c:pt>
                <c:pt idx="273">
                  <c:v>1.8050352601465773</c:v>
                </c:pt>
                <c:pt idx="274">
                  <c:v>6.0014399131592331</c:v>
                </c:pt>
                <c:pt idx="275">
                  <c:v>3.4051253279523621</c:v>
                </c:pt>
                <c:pt idx="276">
                  <c:v>3.7218345228640066</c:v>
                </c:pt>
                <c:pt idx="277">
                  <c:v>2.2428202953210237</c:v>
                </c:pt>
                <c:pt idx="278">
                  <c:v>2.4468270002278714</c:v>
                </c:pt>
                <c:pt idx="279">
                  <c:v>1.9944043589268339</c:v>
                </c:pt>
                <c:pt idx="280">
                  <c:v>5.6731734184136364</c:v>
                </c:pt>
                <c:pt idx="281">
                  <c:v>6.2010932246081794</c:v>
                </c:pt>
                <c:pt idx="282">
                  <c:v>4.8974286838044137</c:v>
                </c:pt>
                <c:pt idx="283">
                  <c:v>3.5567340736303459</c:v>
                </c:pt>
                <c:pt idx="284">
                  <c:v>6.2212290408255928</c:v>
                </c:pt>
                <c:pt idx="285">
                  <c:v>6.9617364245085058</c:v>
                </c:pt>
                <c:pt idx="286">
                  <c:v>5.0773033812606227</c:v>
                </c:pt>
                <c:pt idx="287">
                  <c:v>0.95798700911613333</c:v>
                </c:pt>
                <c:pt idx="288">
                  <c:v>3.976793238859738</c:v>
                </c:pt>
                <c:pt idx="289">
                  <c:v>5.6719042326526949</c:v>
                </c:pt>
                <c:pt idx="290">
                  <c:v>5.3442398383002025</c:v>
                </c:pt>
                <c:pt idx="291">
                  <c:v>4.4666250676165236</c:v>
                </c:pt>
                <c:pt idx="292">
                  <c:v>3.147585700716149</c:v>
                </c:pt>
                <c:pt idx="293">
                  <c:v>2.3097341946198133</c:v>
                </c:pt>
                <c:pt idx="294">
                  <c:v>3.4772168086625759</c:v>
                </c:pt>
                <c:pt idx="295">
                  <c:v>-0.15405074490270643</c:v>
                </c:pt>
                <c:pt idx="296">
                  <c:v>3.6467852730721058</c:v>
                </c:pt>
                <c:pt idx="297">
                  <c:v>6.4330893060992107</c:v>
                </c:pt>
                <c:pt idx="298">
                  <c:v>4.5490919570655048</c:v>
                </c:pt>
                <c:pt idx="299">
                  <c:v>5.9685781550011674</c:v>
                </c:pt>
                <c:pt idx="300">
                  <c:v>3.4987837399635149</c:v>
                </c:pt>
                <c:pt idx="301">
                  <c:v>-1.5716408139132998</c:v>
                </c:pt>
                <c:pt idx="302">
                  <c:v>5.2909897305453732</c:v>
                </c:pt>
                <c:pt idx="303">
                  <c:v>3.0688587103877616</c:v>
                </c:pt>
                <c:pt idx="304">
                  <c:v>4.7107191922493943</c:v>
                </c:pt>
                <c:pt idx="305">
                  <c:v>3.0785920262629407</c:v>
                </c:pt>
                <c:pt idx="306">
                  <c:v>7.6849928819679381</c:v>
                </c:pt>
                <c:pt idx="307">
                  <c:v>4.6672682054547501</c:v>
                </c:pt>
                <c:pt idx="308">
                  <c:v>1.799107360549705</c:v>
                </c:pt>
                <c:pt idx="309">
                  <c:v>4.310511051017432</c:v>
                </c:pt>
                <c:pt idx="310">
                  <c:v>3.4965681745146053</c:v>
                </c:pt>
                <c:pt idx="311">
                  <c:v>7.5415317006070586</c:v>
                </c:pt>
                <c:pt idx="312">
                  <c:v>3.842630084244854</c:v>
                </c:pt>
                <c:pt idx="313">
                  <c:v>3.105795119712587</c:v>
                </c:pt>
                <c:pt idx="314">
                  <c:v>4.5176828338839581</c:v>
                </c:pt>
                <c:pt idx="315">
                  <c:v>9.2377743218587032</c:v>
                </c:pt>
                <c:pt idx="316">
                  <c:v>1.3079900539143985</c:v>
                </c:pt>
                <c:pt idx="317">
                  <c:v>5.1686317828007589</c:v>
                </c:pt>
                <c:pt idx="318">
                  <c:v>4.2831173391903636</c:v>
                </c:pt>
                <c:pt idx="319">
                  <c:v>3.1992054581455251</c:v>
                </c:pt>
                <c:pt idx="320">
                  <c:v>4.4162891178813402</c:v>
                </c:pt>
                <c:pt idx="321">
                  <c:v>4.2069526430557485</c:v>
                </c:pt>
                <c:pt idx="322">
                  <c:v>4.3288567380084064</c:v>
                </c:pt>
                <c:pt idx="323">
                  <c:v>2.2813846567935148</c:v>
                </c:pt>
                <c:pt idx="324">
                  <c:v>1.4316547803115611</c:v>
                </c:pt>
                <c:pt idx="325">
                  <c:v>2.8782412696243105</c:v>
                </c:pt>
                <c:pt idx="326">
                  <c:v>7.6937856749524718</c:v>
                </c:pt>
                <c:pt idx="327">
                  <c:v>3.437452122727179</c:v>
                </c:pt>
                <c:pt idx="328">
                  <c:v>6.4403964550972557</c:v>
                </c:pt>
                <c:pt idx="329">
                  <c:v>3.6065759570407838</c:v>
                </c:pt>
                <c:pt idx="330">
                  <c:v>4.4434533929798423</c:v>
                </c:pt>
                <c:pt idx="331">
                  <c:v>7.3448240122404957</c:v>
                </c:pt>
                <c:pt idx="332">
                  <c:v>3.7144987861794485</c:v>
                </c:pt>
                <c:pt idx="333">
                  <c:v>4.7527911472031352</c:v>
                </c:pt>
                <c:pt idx="334">
                  <c:v>2.8571993467462438</c:v>
                </c:pt>
                <c:pt idx="335">
                  <c:v>5.141348671452084</c:v>
                </c:pt>
                <c:pt idx="336">
                  <c:v>3.782387864743074</c:v>
                </c:pt>
                <c:pt idx="337">
                  <c:v>5.4732611860285587</c:v>
                </c:pt>
                <c:pt idx="338">
                  <c:v>6.0611838202644366</c:v>
                </c:pt>
                <c:pt idx="339">
                  <c:v>6.7531032127528068</c:v>
                </c:pt>
                <c:pt idx="340">
                  <c:v>5.3648644802193601</c:v>
                </c:pt>
                <c:pt idx="341">
                  <c:v>4.4361013204216189</c:v>
                </c:pt>
                <c:pt idx="342">
                  <c:v>5.039839681791749</c:v>
                </c:pt>
                <c:pt idx="343">
                  <c:v>3.6959457205937136</c:v>
                </c:pt>
                <c:pt idx="344">
                  <c:v>4.3020609858224512</c:v>
                </c:pt>
                <c:pt idx="345">
                  <c:v>2.3984871727220494</c:v>
                </c:pt>
                <c:pt idx="346">
                  <c:v>3.5269922879776456</c:v>
                </c:pt>
                <c:pt idx="347">
                  <c:v>2.9504692715854137</c:v>
                </c:pt>
                <c:pt idx="348">
                  <c:v>7.0663773591222396</c:v>
                </c:pt>
                <c:pt idx="349">
                  <c:v>2.6218712857764004</c:v>
                </c:pt>
                <c:pt idx="350">
                  <c:v>3.9539983222656678</c:v>
                </c:pt>
                <c:pt idx="351">
                  <c:v>4.2667771525967382</c:v>
                </c:pt>
                <c:pt idx="352">
                  <c:v>5.6338160828767423</c:v>
                </c:pt>
                <c:pt idx="353">
                  <c:v>4.8519296693562026</c:v>
                </c:pt>
                <c:pt idx="354">
                  <c:v>4.1145994476029539</c:v>
                </c:pt>
                <c:pt idx="355">
                  <c:v>4.5747638514235893</c:v>
                </c:pt>
                <c:pt idx="356">
                  <c:v>4.269123035988609</c:v>
                </c:pt>
                <c:pt idx="357">
                  <c:v>3.931221258963963</c:v>
                </c:pt>
                <c:pt idx="358">
                  <c:v>2.2963252499948847</c:v>
                </c:pt>
                <c:pt idx="359">
                  <c:v>5.2757943126019784</c:v>
                </c:pt>
                <c:pt idx="360">
                  <c:v>5.445480051930323</c:v>
                </c:pt>
                <c:pt idx="361">
                  <c:v>5.1171475261665291</c:v>
                </c:pt>
                <c:pt idx="362">
                  <c:v>5.3119209283008448</c:v>
                </c:pt>
                <c:pt idx="363">
                  <c:v>2.6753211534115686</c:v>
                </c:pt>
                <c:pt idx="364">
                  <c:v>3.291978238764635</c:v>
                </c:pt>
                <c:pt idx="365">
                  <c:v>6.4217401537103651</c:v>
                </c:pt>
                <c:pt idx="366">
                  <c:v>7.1807775856520593</c:v>
                </c:pt>
                <c:pt idx="367">
                  <c:v>1.2353133334132855</c:v>
                </c:pt>
                <c:pt idx="368">
                  <c:v>4.9381384444574969</c:v>
                </c:pt>
                <c:pt idx="369">
                  <c:v>3.2674052699728016</c:v>
                </c:pt>
                <c:pt idx="370">
                  <c:v>3.1593217068156343</c:v>
                </c:pt>
                <c:pt idx="371">
                  <c:v>5.61607722675208</c:v>
                </c:pt>
                <c:pt idx="372">
                  <c:v>6.6864047493156669</c:v>
                </c:pt>
                <c:pt idx="373">
                  <c:v>1.9032547841648095</c:v>
                </c:pt>
                <c:pt idx="374">
                  <c:v>4.5967799149460733</c:v>
                </c:pt>
                <c:pt idx="375">
                  <c:v>1.3125478443581415</c:v>
                </c:pt>
                <c:pt idx="376">
                  <c:v>6.2796865472057206</c:v>
                </c:pt>
                <c:pt idx="377">
                  <c:v>4.0131289762949507</c:v>
                </c:pt>
                <c:pt idx="378">
                  <c:v>5.3474746378592481</c:v>
                </c:pt>
                <c:pt idx="379">
                  <c:v>2.0134873719403612</c:v>
                </c:pt>
                <c:pt idx="380">
                  <c:v>5.3320307875799822</c:v>
                </c:pt>
                <c:pt idx="381">
                  <c:v>6.5056914197868423</c:v>
                </c:pt>
                <c:pt idx="382">
                  <c:v>4.2821986706518098</c:v>
                </c:pt>
                <c:pt idx="383">
                  <c:v>4.5070372378866068</c:v>
                </c:pt>
                <c:pt idx="384">
                  <c:v>5.888109934086498</c:v>
                </c:pt>
                <c:pt idx="385">
                  <c:v>3.392998544090319</c:v>
                </c:pt>
                <c:pt idx="386">
                  <c:v>3.0857858977103789</c:v>
                </c:pt>
                <c:pt idx="387">
                  <c:v>4.1962349480858814</c:v>
                </c:pt>
                <c:pt idx="388">
                  <c:v>7.0996392010442317</c:v>
                </c:pt>
                <c:pt idx="389">
                  <c:v>3.368458210391208</c:v>
                </c:pt>
                <c:pt idx="390">
                  <c:v>1.4967317746561268</c:v>
                </c:pt>
                <c:pt idx="391">
                  <c:v>7.0679115352134385</c:v>
                </c:pt>
                <c:pt idx="392">
                  <c:v>2.8662027912090884</c:v>
                </c:pt>
                <c:pt idx="393">
                  <c:v>5.2241938923984641</c:v>
                </c:pt>
                <c:pt idx="394">
                  <c:v>2.2045807262193051</c:v>
                </c:pt>
                <c:pt idx="395">
                  <c:v>2.1723066014854515</c:v>
                </c:pt>
                <c:pt idx="396">
                  <c:v>3.9551886778632404</c:v>
                </c:pt>
                <c:pt idx="397">
                  <c:v>1.5463626583748518</c:v>
                </c:pt>
                <c:pt idx="398">
                  <c:v>4.8595101922409576</c:v>
                </c:pt>
                <c:pt idx="399">
                  <c:v>5.8872857064043824</c:v>
                </c:pt>
                <c:pt idx="400">
                  <c:v>8.0010648413762873</c:v>
                </c:pt>
                <c:pt idx="401">
                  <c:v>1.967034022834488</c:v>
                </c:pt>
                <c:pt idx="402">
                  <c:v>4.99452418569087</c:v>
                </c:pt>
                <c:pt idx="403">
                  <c:v>3.219869305075413</c:v>
                </c:pt>
                <c:pt idx="404">
                  <c:v>10.24149555551708</c:v>
                </c:pt>
                <c:pt idx="405">
                  <c:v>6.9303748958348175</c:v>
                </c:pt>
                <c:pt idx="406">
                  <c:v>4.0696953848823565</c:v>
                </c:pt>
                <c:pt idx="407">
                  <c:v>6.5762860621580685</c:v>
                </c:pt>
                <c:pt idx="408">
                  <c:v>2.2642937170615056</c:v>
                </c:pt>
                <c:pt idx="409">
                  <c:v>6.3269965592500359</c:v>
                </c:pt>
                <c:pt idx="410">
                  <c:v>2.3566114834269372</c:v>
                </c:pt>
                <c:pt idx="411">
                  <c:v>4.9881957191704851</c:v>
                </c:pt>
                <c:pt idx="412">
                  <c:v>3.3528546356080646</c:v>
                </c:pt>
                <c:pt idx="413">
                  <c:v>7.7422836721690569</c:v>
                </c:pt>
                <c:pt idx="414">
                  <c:v>2.0306889836474813</c:v>
                </c:pt>
                <c:pt idx="415">
                  <c:v>2.8425323323801268</c:v>
                </c:pt>
                <c:pt idx="416">
                  <c:v>4.9346782402712845</c:v>
                </c:pt>
                <c:pt idx="417">
                  <c:v>4.6159333125510269</c:v>
                </c:pt>
                <c:pt idx="418">
                  <c:v>3.4225949630630828</c:v>
                </c:pt>
                <c:pt idx="419">
                  <c:v>3.9947103671318041</c:v>
                </c:pt>
                <c:pt idx="420">
                  <c:v>-0.98477794839834409</c:v>
                </c:pt>
                <c:pt idx="421">
                  <c:v>3.2474212132436158</c:v>
                </c:pt>
                <c:pt idx="422">
                  <c:v>2.976090126405198</c:v>
                </c:pt>
                <c:pt idx="423">
                  <c:v>5.5571354696799773</c:v>
                </c:pt>
                <c:pt idx="424">
                  <c:v>7.4158166897452205</c:v>
                </c:pt>
                <c:pt idx="425">
                  <c:v>2.1285793815622531</c:v>
                </c:pt>
                <c:pt idx="426">
                  <c:v>9.3899940152248682</c:v>
                </c:pt>
                <c:pt idx="427">
                  <c:v>0.49235118825723756</c:v>
                </c:pt>
                <c:pt idx="428">
                  <c:v>7.0458634284619635</c:v>
                </c:pt>
                <c:pt idx="429">
                  <c:v>2.8547059622999535</c:v>
                </c:pt>
                <c:pt idx="430">
                  <c:v>5.037917745129791</c:v>
                </c:pt>
                <c:pt idx="431">
                  <c:v>7.0663177002049444</c:v>
                </c:pt>
                <c:pt idx="432">
                  <c:v>6.5838872190696858</c:v>
                </c:pt>
                <c:pt idx="433">
                  <c:v>2.6666276596224385</c:v>
                </c:pt>
                <c:pt idx="434">
                  <c:v>6.2406221209945327</c:v>
                </c:pt>
                <c:pt idx="435">
                  <c:v>3.4946328311728059</c:v>
                </c:pt>
                <c:pt idx="436">
                  <c:v>4.4691904669595592</c:v>
                </c:pt>
                <c:pt idx="437">
                  <c:v>4.549186750769179</c:v>
                </c:pt>
                <c:pt idx="438">
                  <c:v>4.5349634449398044</c:v>
                </c:pt>
                <c:pt idx="439">
                  <c:v>-0.54562482530874412</c:v>
                </c:pt>
                <c:pt idx="440">
                  <c:v>4.7033668071943087</c:v>
                </c:pt>
                <c:pt idx="441">
                  <c:v>3.0654722745001943</c:v>
                </c:pt>
                <c:pt idx="442">
                  <c:v>6.9586952148006391</c:v>
                </c:pt>
                <c:pt idx="443">
                  <c:v>4.4771713476908381</c:v>
                </c:pt>
                <c:pt idx="444">
                  <c:v>5.5170390972867365</c:v>
                </c:pt>
                <c:pt idx="445">
                  <c:v>8.3057629368939647</c:v>
                </c:pt>
                <c:pt idx="446">
                  <c:v>3.5441867386047776</c:v>
                </c:pt>
                <c:pt idx="447">
                  <c:v>3.3634156699908093</c:v>
                </c:pt>
                <c:pt idx="448">
                  <c:v>4.5178834092416738</c:v>
                </c:pt>
                <c:pt idx="449">
                  <c:v>0.99949523486262759</c:v>
                </c:pt>
                <c:pt idx="450">
                  <c:v>4.3626764231958477</c:v>
                </c:pt>
                <c:pt idx="451">
                  <c:v>6.3760473950281629</c:v>
                </c:pt>
                <c:pt idx="452">
                  <c:v>6.6956594479369489</c:v>
                </c:pt>
                <c:pt idx="453">
                  <c:v>1.3389104270199992</c:v>
                </c:pt>
                <c:pt idx="454">
                  <c:v>2.1713270252639019</c:v>
                </c:pt>
                <c:pt idx="455">
                  <c:v>5.5224261447766736</c:v>
                </c:pt>
                <c:pt idx="456">
                  <c:v>4.9504007508188694</c:v>
                </c:pt>
                <c:pt idx="457">
                  <c:v>1.8488523993735462</c:v>
                </c:pt>
                <c:pt idx="458">
                  <c:v>3.8826610159980048</c:v>
                </c:pt>
                <c:pt idx="459">
                  <c:v>5.9915345411682281</c:v>
                </c:pt>
                <c:pt idx="460">
                  <c:v>0.99441946201813858</c:v>
                </c:pt>
                <c:pt idx="461">
                  <c:v>7.3327911416804694</c:v>
                </c:pt>
                <c:pt idx="462">
                  <c:v>3.2595902434019592</c:v>
                </c:pt>
                <c:pt idx="463">
                  <c:v>4.0526997303142842</c:v>
                </c:pt>
                <c:pt idx="464">
                  <c:v>5.8637153095554009</c:v>
                </c:pt>
                <c:pt idx="465">
                  <c:v>3.3678318265355918</c:v>
                </c:pt>
                <c:pt idx="466">
                  <c:v>3.1693370850569509</c:v>
                </c:pt>
                <c:pt idx="467">
                  <c:v>4.0759480745422936</c:v>
                </c:pt>
                <c:pt idx="468">
                  <c:v>2.0464842642983747</c:v>
                </c:pt>
                <c:pt idx="469">
                  <c:v>3.4429891698248061</c:v>
                </c:pt>
                <c:pt idx="470">
                  <c:v>3.4034911901672111</c:v>
                </c:pt>
                <c:pt idx="471">
                  <c:v>3.7985873236040577</c:v>
                </c:pt>
                <c:pt idx="472">
                  <c:v>2.5552987126910547</c:v>
                </c:pt>
                <c:pt idx="473">
                  <c:v>4.8163773588262799</c:v>
                </c:pt>
                <c:pt idx="474">
                  <c:v>0.80703165751827211</c:v>
                </c:pt>
                <c:pt idx="475">
                  <c:v>1.1202110703719743</c:v>
                </c:pt>
                <c:pt idx="476">
                  <c:v>5.9619651213689986</c:v>
                </c:pt>
                <c:pt idx="477">
                  <c:v>2.5296339350487869</c:v>
                </c:pt>
                <c:pt idx="478">
                  <c:v>2.8329502495670158</c:v>
                </c:pt>
                <c:pt idx="479">
                  <c:v>3.9973103375457395</c:v>
                </c:pt>
                <c:pt idx="480">
                  <c:v>1.0767195320205505</c:v>
                </c:pt>
                <c:pt idx="481">
                  <c:v>1.8825011728254157</c:v>
                </c:pt>
                <c:pt idx="482">
                  <c:v>3.2269258484557075</c:v>
                </c:pt>
                <c:pt idx="483">
                  <c:v>0.76318248034607095</c:v>
                </c:pt>
                <c:pt idx="484">
                  <c:v>3.3941977827200605</c:v>
                </c:pt>
                <c:pt idx="485">
                  <c:v>0.10920085959009018</c:v>
                </c:pt>
                <c:pt idx="486">
                  <c:v>4.9437762235638845</c:v>
                </c:pt>
                <c:pt idx="487">
                  <c:v>7.0211397475645523</c:v>
                </c:pt>
                <c:pt idx="488">
                  <c:v>5.5022133318313546</c:v>
                </c:pt>
                <c:pt idx="489">
                  <c:v>3.7509831395832594</c:v>
                </c:pt>
                <c:pt idx="490">
                  <c:v>3.535595753213161</c:v>
                </c:pt>
                <c:pt idx="491">
                  <c:v>3.4243830107270132</c:v>
                </c:pt>
                <c:pt idx="492">
                  <c:v>3.523565340507858</c:v>
                </c:pt>
                <c:pt idx="493">
                  <c:v>6.1574761005448799</c:v>
                </c:pt>
                <c:pt idx="494">
                  <c:v>2.2854116678948717</c:v>
                </c:pt>
                <c:pt idx="495">
                  <c:v>6.9336714842096239</c:v>
                </c:pt>
                <c:pt idx="496">
                  <c:v>4.4889929498914238</c:v>
                </c:pt>
                <c:pt idx="497">
                  <c:v>5.5446381648189211</c:v>
                </c:pt>
                <c:pt idx="498">
                  <c:v>3.7226956707599528</c:v>
                </c:pt>
                <c:pt idx="499">
                  <c:v>6.5441635215485849</c:v>
                </c:pt>
                <c:pt idx="500">
                  <c:v>4.6091834549281039</c:v>
                </c:pt>
                <c:pt idx="501">
                  <c:v>3.7307480583839596</c:v>
                </c:pt>
                <c:pt idx="502">
                  <c:v>5.8500943857212189</c:v>
                </c:pt>
                <c:pt idx="503">
                  <c:v>4.3238786004672072</c:v>
                </c:pt>
                <c:pt idx="504">
                  <c:v>3.6143083501180109</c:v>
                </c:pt>
                <c:pt idx="505">
                  <c:v>5.4806334527648239</c:v>
                </c:pt>
                <c:pt idx="506">
                  <c:v>5.8675413512164969</c:v>
                </c:pt>
                <c:pt idx="507">
                  <c:v>5.316357951189925</c:v>
                </c:pt>
                <c:pt idx="508">
                  <c:v>7.7486178474585783</c:v>
                </c:pt>
                <c:pt idx="509">
                  <c:v>1.9259118098108878</c:v>
                </c:pt>
                <c:pt idx="510">
                  <c:v>2.7588122169226246</c:v>
                </c:pt>
                <c:pt idx="511">
                  <c:v>3.9773126817610329</c:v>
                </c:pt>
                <c:pt idx="512">
                  <c:v>4.5384344915688368</c:v>
                </c:pt>
                <c:pt idx="513">
                  <c:v>6.7357092330026704</c:v>
                </c:pt>
                <c:pt idx="514">
                  <c:v>5.490137808478881</c:v>
                </c:pt>
                <c:pt idx="515">
                  <c:v>3.2275396769361202</c:v>
                </c:pt>
                <c:pt idx="516">
                  <c:v>6.3928222525191511</c:v>
                </c:pt>
                <c:pt idx="517">
                  <c:v>3.3240087045791551</c:v>
                </c:pt>
                <c:pt idx="518">
                  <c:v>6.0297874392071629</c:v>
                </c:pt>
                <c:pt idx="519">
                  <c:v>5.224334169101442</c:v>
                </c:pt>
                <c:pt idx="520">
                  <c:v>4.6027374327987882</c:v>
                </c:pt>
                <c:pt idx="521">
                  <c:v>3.2729335661723846</c:v>
                </c:pt>
                <c:pt idx="522">
                  <c:v>4.5651081790397789</c:v>
                </c:pt>
                <c:pt idx="523">
                  <c:v>3.6822591273636971</c:v>
                </c:pt>
                <c:pt idx="524">
                  <c:v>2.3054262963454244</c:v>
                </c:pt>
                <c:pt idx="525">
                  <c:v>4.3212026214237156</c:v>
                </c:pt>
                <c:pt idx="526">
                  <c:v>5.8581743214625064</c:v>
                </c:pt>
                <c:pt idx="527">
                  <c:v>1.4649951664755236</c:v>
                </c:pt>
                <c:pt idx="528">
                  <c:v>7.4044217551296887</c:v>
                </c:pt>
                <c:pt idx="529">
                  <c:v>3.0961757158088403</c:v>
                </c:pt>
                <c:pt idx="530">
                  <c:v>5.2097171243672289</c:v>
                </c:pt>
                <c:pt idx="531">
                  <c:v>2.1429314489032083</c:v>
                </c:pt>
                <c:pt idx="532">
                  <c:v>4.4318543137883246</c:v>
                </c:pt>
                <c:pt idx="533">
                  <c:v>4.5027807758278708</c:v>
                </c:pt>
                <c:pt idx="534">
                  <c:v>8.3974221361257868</c:v>
                </c:pt>
                <c:pt idx="535">
                  <c:v>4.972336261212198</c:v>
                </c:pt>
                <c:pt idx="536">
                  <c:v>4.0010629919940994</c:v>
                </c:pt>
                <c:pt idx="537">
                  <c:v>3.6198315033264845</c:v>
                </c:pt>
                <c:pt idx="538">
                  <c:v>4.6239861838708762</c:v>
                </c:pt>
              </c:numCache>
            </c:numRef>
          </c:xVal>
          <c:yVal>
            <c:numRef>
              <c:f>simul_1a_1b_2a!$I$61:$I$599</c:f>
              <c:numCache>
                <c:formatCode>0.000</c:formatCode>
                <c:ptCount val="539"/>
                <c:pt idx="0">
                  <c:v>0.96555001271166596</c:v>
                </c:pt>
                <c:pt idx="1">
                  <c:v>8.557262120117759E-3</c:v>
                </c:pt>
                <c:pt idx="2">
                  <c:v>7.3226734992402288E-5</c:v>
                </c:pt>
                <c:pt idx="3">
                  <c:v>6.266203655303857E-7</c:v>
                </c:pt>
                <c:pt idx="4">
                  <c:v>5.3621547176475137E-9</c:v>
                </c:pt>
                <c:pt idx="5">
                  <c:v>8.557262120117759E-3</c:v>
                </c:pt>
                <c:pt idx="6">
                  <c:v>7.3226734992402288E-5</c:v>
                </c:pt>
                <c:pt idx="7">
                  <c:v>6.266203655303857E-7</c:v>
                </c:pt>
                <c:pt idx="8">
                  <c:v>8.557262120117759E-3</c:v>
                </c:pt>
                <c:pt idx="9">
                  <c:v>7.3226734992402288E-5</c:v>
                </c:pt>
                <c:pt idx="10">
                  <c:v>8.557262120117759E-3</c:v>
                </c:pt>
                <c:pt idx="11">
                  <c:v>0</c:v>
                </c:pt>
                <c:pt idx="12">
                  <c:v>0.15590195462147471</c:v>
                </c:pt>
                <c:pt idx="13">
                  <c:v>0.14741791923634937</c:v>
                </c:pt>
                <c:pt idx="14">
                  <c:v>0.1473453191217225</c:v>
                </c:pt>
                <c:pt idx="15">
                  <c:v>0.14734469786351168</c:v>
                </c:pt>
                <c:pt idx="16">
                  <c:v>0.15590195462147471</c:v>
                </c:pt>
                <c:pt idx="17">
                  <c:v>0.14741791923634937</c:v>
                </c:pt>
                <c:pt idx="18">
                  <c:v>0.1473453191217225</c:v>
                </c:pt>
                <c:pt idx="19">
                  <c:v>0.15590195462147471</c:v>
                </c:pt>
                <c:pt idx="20">
                  <c:v>0.14741791923634937</c:v>
                </c:pt>
                <c:pt idx="21">
                  <c:v>0.15590195462147471</c:v>
                </c:pt>
                <c:pt idx="22">
                  <c:v>0.74844542862847163</c:v>
                </c:pt>
                <c:pt idx="23">
                  <c:v>3.0267720528437195E-2</c:v>
                </c:pt>
                <c:pt idx="24">
                  <c:v>2.1783685143311839E-2</c:v>
                </c:pt>
                <c:pt idx="25">
                  <c:v>2.1711085028684966E-2</c:v>
                </c:pt>
                <c:pt idx="26">
                  <c:v>2.1710463770474153E-2</c:v>
                </c:pt>
                <c:pt idx="27">
                  <c:v>3.0267720528437195E-2</c:v>
                </c:pt>
                <c:pt idx="28">
                  <c:v>2.1783685143311839E-2</c:v>
                </c:pt>
                <c:pt idx="29">
                  <c:v>2.1711085028684966E-2</c:v>
                </c:pt>
                <c:pt idx="30">
                  <c:v>3.0267720528437195E-2</c:v>
                </c:pt>
                <c:pt idx="31">
                  <c:v>2.1783685143311839E-2</c:v>
                </c:pt>
                <c:pt idx="32">
                  <c:v>3.0267720528437195E-2</c:v>
                </c:pt>
                <c:pt idx="33">
                  <c:v>0.95706949050208778</c:v>
                </c:pt>
                <c:pt idx="34">
                  <c:v>9.4053143410755737E-3</c:v>
                </c:pt>
                <c:pt idx="35">
                  <c:v>9.2127895595021752E-4</c:v>
                </c:pt>
                <c:pt idx="36">
                  <c:v>8.4867884132334569E-4</c:v>
                </c:pt>
                <c:pt idx="37">
                  <c:v>8.4805758311253291E-4</c:v>
                </c:pt>
                <c:pt idx="38">
                  <c:v>9.4053143410755737E-3</c:v>
                </c:pt>
                <c:pt idx="39">
                  <c:v>9.2127895595021752E-4</c:v>
                </c:pt>
                <c:pt idx="40">
                  <c:v>8.4867884132334569E-4</c:v>
                </c:pt>
                <c:pt idx="41">
                  <c:v>9.4053143410755737E-3</c:v>
                </c:pt>
                <c:pt idx="42">
                  <c:v>9.2127895595021752E-4</c:v>
                </c:pt>
                <c:pt idx="43">
                  <c:v>9.4053143410755737E-3</c:v>
                </c:pt>
                <c:pt idx="44">
                  <c:v>0</c:v>
                </c:pt>
                <c:pt idx="45">
                  <c:v>0.15590195462147471</c:v>
                </c:pt>
                <c:pt idx="46">
                  <c:v>0.14741791923634937</c:v>
                </c:pt>
                <c:pt idx="47">
                  <c:v>0.1473453191217225</c:v>
                </c:pt>
                <c:pt idx="48">
                  <c:v>0.14734469786351168</c:v>
                </c:pt>
                <c:pt idx="49">
                  <c:v>0.15590195462147471</c:v>
                </c:pt>
                <c:pt idx="50">
                  <c:v>0.14741791923634937</c:v>
                </c:pt>
                <c:pt idx="51">
                  <c:v>0.1473453191217225</c:v>
                </c:pt>
                <c:pt idx="52">
                  <c:v>0.15590195462147471</c:v>
                </c:pt>
                <c:pt idx="53">
                  <c:v>0.14741791923634937</c:v>
                </c:pt>
                <c:pt idx="54">
                  <c:v>0.15590195462147471</c:v>
                </c:pt>
                <c:pt idx="55">
                  <c:v>0.90799434466817641</c:v>
                </c:pt>
                <c:pt idx="56">
                  <c:v>1.4312828924466718E-2</c:v>
                </c:pt>
                <c:pt idx="57">
                  <c:v>5.828793539341362E-3</c:v>
                </c:pt>
                <c:pt idx="58">
                  <c:v>5.7561934247144907E-3</c:v>
                </c:pt>
                <c:pt idx="59">
                  <c:v>5.7555721665036776E-3</c:v>
                </c:pt>
                <c:pt idx="60">
                  <c:v>1.4312828924466718E-2</c:v>
                </c:pt>
                <c:pt idx="61">
                  <c:v>5.828793539341362E-3</c:v>
                </c:pt>
                <c:pt idx="62">
                  <c:v>5.7561934247144907E-3</c:v>
                </c:pt>
                <c:pt idx="63">
                  <c:v>1.4312828924466718E-2</c:v>
                </c:pt>
                <c:pt idx="64">
                  <c:v>5.828793539341362E-3</c:v>
                </c:pt>
                <c:pt idx="65">
                  <c:v>1.4312828924466718E-2</c:v>
                </c:pt>
                <c:pt idx="66">
                  <c:v>0.57493079822615234</c:v>
                </c:pt>
                <c:pt idx="67">
                  <c:v>4.7619183568669121E-2</c:v>
                </c:pt>
                <c:pt idx="68">
                  <c:v>3.9135148183543765E-2</c:v>
                </c:pt>
                <c:pt idx="69">
                  <c:v>3.9062548068916896E-2</c:v>
                </c:pt>
                <c:pt idx="70">
                  <c:v>3.9061926810706082E-2</c:v>
                </c:pt>
                <c:pt idx="71">
                  <c:v>4.7619183568669121E-2</c:v>
                </c:pt>
                <c:pt idx="72">
                  <c:v>3.9135148183543765E-2</c:v>
                </c:pt>
                <c:pt idx="73">
                  <c:v>3.9062548068916896E-2</c:v>
                </c:pt>
                <c:pt idx="74">
                  <c:v>4.7619183568669121E-2</c:v>
                </c:pt>
                <c:pt idx="75">
                  <c:v>3.9135148183543765E-2</c:v>
                </c:pt>
                <c:pt idx="76">
                  <c:v>4.7619183568669121E-2</c:v>
                </c:pt>
                <c:pt idx="77">
                  <c:v>0</c:v>
                </c:pt>
                <c:pt idx="78">
                  <c:v>0.15989004515624028</c:v>
                </c:pt>
                <c:pt idx="79">
                  <c:v>0.15140600977111493</c:v>
                </c:pt>
                <c:pt idx="80">
                  <c:v>0.15133340965648806</c:v>
                </c:pt>
                <c:pt idx="81">
                  <c:v>0.15133278839827724</c:v>
                </c:pt>
                <c:pt idx="82">
                  <c:v>0.15989004515624028</c:v>
                </c:pt>
                <c:pt idx="83">
                  <c:v>0.15140600977111493</c:v>
                </c:pt>
                <c:pt idx="84">
                  <c:v>0.15133340965648806</c:v>
                </c:pt>
                <c:pt idx="85">
                  <c:v>0.15989004515624028</c:v>
                </c:pt>
                <c:pt idx="86">
                  <c:v>0.15140600977111493</c:v>
                </c:pt>
                <c:pt idx="87">
                  <c:v>0.15989004515624028</c:v>
                </c:pt>
                <c:pt idx="88">
                  <c:v>0</c:v>
                </c:pt>
                <c:pt idx="89">
                  <c:v>0.30723473765759723</c:v>
                </c:pt>
                <c:pt idx="90">
                  <c:v>0.29875070227247186</c:v>
                </c:pt>
                <c:pt idx="91">
                  <c:v>0.29867810215784502</c:v>
                </c:pt>
                <c:pt idx="92">
                  <c:v>0.2986774808996342</c:v>
                </c:pt>
                <c:pt idx="93">
                  <c:v>0.30723473765759723</c:v>
                </c:pt>
                <c:pt idx="94">
                  <c:v>0.29875070227247186</c:v>
                </c:pt>
                <c:pt idx="95">
                  <c:v>0.29867810215784502</c:v>
                </c:pt>
                <c:pt idx="96">
                  <c:v>0.30723473765759723</c:v>
                </c:pt>
                <c:pt idx="97">
                  <c:v>0.29875070227247186</c:v>
                </c:pt>
                <c:pt idx="98">
                  <c:v>0.30723473765759723</c:v>
                </c:pt>
                <c:pt idx="99">
                  <c:v>0</c:v>
                </c:pt>
                <c:pt idx="100">
                  <c:v>0.1816005035645597</c:v>
                </c:pt>
                <c:pt idx="101">
                  <c:v>0.17311646817943435</c:v>
                </c:pt>
                <c:pt idx="102">
                  <c:v>0.17304386806480748</c:v>
                </c:pt>
                <c:pt idx="103">
                  <c:v>0.17304324680659666</c:v>
                </c:pt>
                <c:pt idx="104">
                  <c:v>0.1816005035645597</c:v>
                </c:pt>
                <c:pt idx="105">
                  <c:v>0.17311646817943435</c:v>
                </c:pt>
                <c:pt idx="106">
                  <c:v>0.17304386806480748</c:v>
                </c:pt>
                <c:pt idx="107">
                  <c:v>0.1816005035645597</c:v>
                </c:pt>
                <c:pt idx="108">
                  <c:v>0.17311646817943435</c:v>
                </c:pt>
                <c:pt idx="109">
                  <c:v>0.1816005035645597</c:v>
                </c:pt>
                <c:pt idx="110">
                  <c:v>0</c:v>
                </c:pt>
                <c:pt idx="111">
                  <c:v>0.1607380973771981</c:v>
                </c:pt>
                <c:pt idx="112">
                  <c:v>0.15225406199207275</c:v>
                </c:pt>
                <c:pt idx="113">
                  <c:v>0.15218146187744588</c:v>
                </c:pt>
                <c:pt idx="114">
                  <c:v>0.15218084061923506</c:v>
                </c:pt>
                <c:pt idx="115">
                  <c:v>0.1607380973771981</c:v>
                </c:pt>
                <c:pt idx="116">
                  <c:v>0.15225406199207275</c:v>
                </c:pt>
                <c:pt idx="117">
                  <c:v>0.15218146187744588</c:v>
                </c:pt>
                <c:pt idx="118">
                  <c:v>0.1607380973771981</c:v>
                </c:pt>
                <c:pt idx="119">
                  <c:v>0.15225406199207275</c:v>
                </c:pt>
                <c:pt idx="120">
                  <c:v>0.1607380973771981</c:v>
                </c:pt>
                <c:pt idx="121">
                  <c:v>0</c:v>
                </c:pt>
                <c:pt idx="122">
                  <c:v>0.30723473765759723</c:v>
                </c:pt>
                <c:pt idx="123">
                  <c:v>0.29875070227247186</c:v>
                </c:pt>
                <c:pt idx="124">
                  <c:v>0.29867810215784502</c:v>
                </c:pt>
                <c:pt idx="125">
                  <c:v>0.2986774808996342</c:v>
                </c:pt>
                <c:pt idx="126">
                  <c:v>0.30723473765759723</c:v>
                </c:pt>
                <c:pt idx="127">
                  <c:v>0.29875070227247186</c:v>
                </c:pt>
                <c:pt idx="128">
                  <c:v>0.29867810215784502</c:v>
                </c:pt>
                <c:pt idx="129">
                  <c:v>0.30723473765759723</c:v>
                </c:pt>
                <c:pt idx="130">
                  <c:v>0.29875070227247186</c:v>
                </c:pt>
                <c:pt idx="131">
                  <c:v>0.30723473765759723</c:v>
                </c:pt>
                <c:pt idx="132">
                  <c:v>0</c:v>
                </c:pt>
                <c:pt idx="133">
                  <c:v>0.16564561196058925</c:v>
                </c:pt>
                <c:pt idx="134">
                  <c:v>0.1571615765754639</c:v>
                </c:pt>
                <c:pt idx="135">
                  <c:v>0.15708897646083703</c:v>
                </c:pt>
                <c:pt idx="136">
                  <c:v>0.15708835520262621</c:v>
                </c:pt>
                <c:pt idx="137">
                  <c:v>0.16564561196058925</c:v>
                </c:pt>
                <c:pt idx="138">
                  <c:v>0.1571615765754639</c:v>
                </c:pt>
                <c:pt idx="139">
                  <c:v>0.15708897646083703</c:v>
                </c:pt>
                <c:pt idx="140">
                  <c:v>0.16564561196058925</c:v>
                </c:pt>
                <c:pt idx="141">
                  <c:v>0.1571615765754639</c:v>
                </c:pt>
                <c:pt idx="142">
                  <c:v>0.16564561196058925</c:v>
                </c:pt>
                <c:pt idx="143">
                  <c:v>0</c:v>
                </c:pt>
                <c:pt idx="144">
                  <c:v>0.19895196660479164</c:v>
                </c:pt>
                <c:pt idx="145">
                  <c:v>0.19046793121966629</c:v>
                </c:pt>
                <c:pt idx="146">
                  <c:v>0.19039533110503942</c:v>
                </c:pt>
                <c:pt idx="147">
                  <c:v>0.1903947098468286</c:v>
                </c:pt>
                <c:pt idx="148">
                  <c:v>0.19895196660479164</c:v>
                </c:pt>
                <c:pt idx="149">
                  <c:v>0.19046793121966629</c:v>
                </c:pt>
                <c:pt idx="150">
                  <c:v>0.19039533110503942</c:v>
                </c:pt>
                <c:pt idx="151">
                  <c:v>0.19895196660479164</c:v>
                </c:pt>
                <c:pt idx="152">
                  <c:v>0.19046793121966629</c:v>
                </c:pt>
                <c:pt idx="153">
                  <c:v>0.19895196660479164</c:v>
                </c:pt>
                <c:pt idx="154">
                  <c:v>0.73653390049708467</c:v>
                </c:pt>
                <c:pt idx="155">
                  <c:v>3.1458873341575891E-2</c:v>
                </c:pt>
                <c:pt idx="156">
                  <c:v>2.2974837956450535E-2</c:v>
                </c:pt>
                <c:pt idx="157">
                  <c:v>2.2902237841823662E-2</c:v>
                </c:pt>
                <c:pt idx="158">
                  <c:v>2.2901616583612849E-2</c:v>
                </c:pt>
                <c:pt idx="159">
                  <c:v>3.1458873341575891E-2</c:v>
                </c:pt>
                <c:pt idx="160">
                  <c:v>2.2974837956450535E-2</c:v>
                </c:pt>
                <c:pt idx="161">
                  <c:v>2.2902237841823662E-2</c:v>
                </c:pt>
                <c:pt idx="162">
                  <c:v>3.1458873341575891E-2</c:v>
                </c:pt>
                <c:pt idx="163">
                  <c:v>2.2974837956450535E-2</c:v>
                </c:pt>
                <c:pt idx="164">
                  <c:v>3.1458873341575891E-2</c:v>
                </c:pt>
                <c:pt idx="165">
                  <c:v>0</c:v>
                </c:pt>
                <c:pt idx="166">
                  <c:v>0.17880356584293283</c:v>
                </c:pt>
                <c:pt idx="167">
                  <c:v>0.17031953045780748</c:v>
                </c:pt>
                <c:pt idx="168">
                  <c:v>0.17024693034318061</c:v>
                </c:pt>
                <c:pt idx="169">
                  <c:v>0.17024630908496979</c:v>
                </c:pt>
                <c:pt idx="170">
                  <c:v>0.17880356584293283</c:v>
                </c:pt>
                <c:pt idx="171">
                  <c:v>0.17031953045780748</c:v>
                </c:pt>
                <c:pt idx="172">
                  <c:v>0.17024693034318061</c:v>
                </c:pt>
                <c:pt idx="173">
                  <c:v>0.17880356584293283</c:v>
                </c:pt>
                <c:pt idx="174">
                  <c:v>0.17031953045780748</c:v>
                </c:pt>
                <c:pt idx="175">
                  <c:v>0.17880356584293283</c:v>
                </c:pt>
                <c:pt idx="176">
                  <c:v>0.51942931641389034</c:v>
                </c:pt>
                <c:pt idx="177">
                  <c:v>5.3169331749895327E-2</c:v>
                </c:pt>
                <c:pt idx="178">
                  <c:v>4.4685296364769971E-2</c:v>
                </c:pt>
                <c:pt idx="179">
                  <c:v>4.4612696250143101E-2</c:v>
                </c:pt>
                <c:pt idx="180">
                  <c:v>4.4612074991932288E-2</c:v>
                </c:pt>
                <c:pt idx="181">
                  <c:v>5.3169331749895327E-2</c:v>
                </c:pt>
                <c:pt idx="182">
                  <c:v>4.4685296364769971E-2</c:v>
                </c:pt>
                <c:pt idx="183">
                  <c:v>4.4612696250143101E-2</c:v>
                </c:pt>
                <c:pt idx="184">
                  <c:v>5.3169331749895327E-2</c:v>
                </c:pt>
                <c:pt idx="185">
                  <c:v>4.4685296364769971E-2</c:v>
                </c:pt>
                <c:pt idx="186">
                  <c:v>5.3169331749895327E-2</c:v>
                </c:pt>
                <c:pt idx="187">
                  <c:v>0.72805337828750649</c:v>
                </c:pt>
                <c:pt idx="188">
                  <c:v>3.2306925562533707E-2</c:v>
                </c:pt>
                <c:pt idx="189">
                  <c:v>2.3822890177408351E-2</c:v>
                </c:pt>
                <c:pt idx="190">
                  <c:v>2.3750290062781478E-2</c:v>
                </c:pt>
                <c:pt idx="191">
                  <c:v>2.3749668804570665E-2</c:v>
                </c:pt>
                <c:pt idx="192">
                  <c:v>3.2306925562533707E-2</c:v>
                </c:pt>
                <c:pt idx="193">
                  <c:v>2.3822890177408351E-2</c:v>
                </c:pt>
                <c:pt idx="194">
                  <c:v>2.3750290062781478E-2</c:v>
                </c:pt>
                <c:pt idx="195">
                  <c:v>3.2306925562533707E-2</c:v>
                </c:pt>
                <c:pt idx="196">
                  <c:v>2.3822890177408351E-2</c:v>
                </c:pt>
                <c:pt idx="197">
                  <c:v>3.2306925562533707E-2</c:v>
                </c:pt>
                <c:pt idx="198">
                  <c:v>0</c:v>
                </c:pt>
                <c:pt idx="199">
                  <c:v>0.17880356584293283</c:v>
                </c:pt>
                <c:pt idx="200">
                  <c:v>0.17031953045780748</c:v>
                </c:pt>
                <c:pt idx="201">
                  <c:v>0.17024693034318061</c:v>
                </c:pt>
                <c:pt idx="202">
                  <c:v>0.17024630908496979</c:v>
                </c:pt>
                <c:pt idx="203">
                  <c:v>0.17880356584293283</c:v>
                </c:pt>
                <c:pt idx="204">
                  <c:v>0.17031953045780748</c:v>
                </c:pt>
                <c:pt idx="205">
                  <c:v>0.17024693034318061</c:v>
                </c:pt>
                <c:pt idx="206">
                  <c:v>0.17880356584293283</c:v>
                </c:pt>
                <c:pt idx="207">
                  <c:v>0.17031953045780748</c:v>
                </c:pt>
                <c:pt idx="208">
                  <c:v>0.17880356584293283</c:v>
                </c:pt>
                <c:pt idx="209">
                  <c:v>0.67897823245359512</c:v>
                </c:pt>
                <c:pt idx="210">
                  <c:v>3.721444014592485E-2</c:v>
                </c:pt>
                <c:pt idx="211">
                  <c:v>2.8730404760799494E-2</c:v>
                </c:pt>
                <c:pt idx="212">
                  <c:v>2.8657804646172621E-2</c:v>
                </c:pt>
                <c:pt idx="213">
                  <c:v>2.8657183387961808E-2</c:v>
                </c:pt>
                <c:pt idx="214">
                  <c:v>3.721444014592485E-2</c:v>
                </c:pt>
                <c:pt idx="215">
                  <c:v>2.8730404760799494E-2</c:v>
                </c:pt>
                <c:pt idx="216">
                  <c:v>2.8657804646172621E-2</c:v>
                </c:pt>
                <c:pt idx="217">
                  <c:v>3.721444014592485E-2</c:v>
                </c:pt>
                <c:pt idx="218">
                  <c:v>2.8730404760799494E-2</c:v>
                </c:pt>
                <c:pt idx="219">
                  <c:v>3.721444014592485E-2</c:v>
                </c:pt>
                <c:pt idx="220">
                  <c:v>0.34591468601157105</c:v>
                </c:pt>
                <c:pt idx="221">
                  <c:v>7.0520794790127253E-2</c:v>
                </c:pt>
                <c:pt idx="222">
                  <c:v>6.2036759405001897E-2</c:v>
                </c:pt>
                <c:pt idx="223">
                  <c:v>6.1964159290375027E-2</c:v>
                </c:pt>
                <c:pt idx="224">
                  <c:v>6.1963538032164214E-2</c:v>
                </c:pt>
                <c:pt idx="225">
                  <c:v>7.0520794790127253E-2</c:v>
                </c:pt>
                <c:pt idx="226">
                  <c:v>6.2036759405001897E-2</c:v>
                </c:pt>
                <c:pt idx="227">
                  <c:v>6.1964159290375027E-2</c:v>
                </c:pt>
                <c:pt idx="228">
                  <c:v>7.0520794790127253E-2</c:v>
                </c:pt>
                <c:pt idx="229">
                  <c:v>6.2036759405001897E-2</c:v>
                </c:pt>
                <c:pt idx="230">
                  <c:v>7.0520794790127253E-2</c:v>
                </c:pt>
                <c:pt idx="231">
                  <c:v>0.9632136788962502</c:v>
                </c:pt>
                <c:pt idx="232">
                  <c:v>8.7908955016593338E-3</c:v>
                </c:pt>
                <c:pt idx="233">
                  <c:v>3.068601165339774E-4</c:v>
                </c:pt>
                <c:pt idx="234">
                  <c:v>2.3426000190710549E-4</c:v>
                </c:pt>
                <c:pt idx="235">
                  <c:v>2.3363874369629274E-4</c:v>
                </c:pt>
                <c:pt idx="236">
                  <c:v>8.7908955016593338E-3</c:v>
                </c:pt>
                <c:pt idx="237">
                  <c:v>3.068601165339774E-4</c:v>
                </c:pt>
                <c:pt idx="238">
                  <c:v>2.3426000190710549E-4</c:v>
                </c:pt>
                <c:pt idx="239">
                  <c:v>8.7908955016593338E-3</c:v>
                </c:pt>
                <c:pt idx="240">
                  <c:v>3.068601165339774E-4</c:v>
                </c:pt>
                <c:pt idx="241">
                  <c:v>8.7908955016593338E-3</c:v>
                </c:pt>
                <c:pt idx="242">
                  <c:v>0</c:v>
                </c:pt>
                <c:pt idx="243">
                  <c:v>0.1561355880030163</c:v>
                </c:pt>
                <c:pt idx="244">
                  <c:v>0.14765155261789095</c:v>
                </c:pt>
                <c:pt idx="245">
                  <c:v>0.14757895250326408</c:v>
                </c:pt>
                <c:pt idx="246">
                  <c:v>0.14757833124505326</c:v>
                </c:pt>
                <c:pt idx="247">
                  <c:v>0.1561355880030163</c:v>
                </c:pt>
                <c:pt idx="248">
                  <c:v>0.14765155261789095</c:v>
                </c:pt>
                <c:pt idx="249">
                  <c:v>0.14757895250326408</c:v>
                </c:pt>
                <c:pt idx="250">
                  <c:v>0.1561355880030163</c:v>
                </c:pt>
                <c:pt idx="251">
                  <c:v>0.14765155261789095</c:v>
                </c:pt>
                <c:pt idx="252">
                  <c:v>0.1561355880030163</c:v>
                </c:pt>
                <c:pt idx="253">
                  <c:v>0.74610909481305576</c:v>
                </c:pt>
                <c:pt idx="254">
                  <c:v>3.0501353909978771E-2</c:v>
                </c:pt>
                <c:pt idx="255">
                  <c:v>2.2017318524853415E-2</c:v>
                </c:pt>
                <c:pt idx="256">
                  <c:v>2.1944718410226542E-2</c:v>
                </c:pt>
                <c:pt idx="257">
                  <c:v>2.1944097152015729E-2</c:v>
                </c:pt>
                <c:pt idx="258">
                  <c:v>3.0501353909978771E-2</c:v>
                </c:pt>
                <c:pt idx="259">
                  <c:v>2.2017318524853415E-2</c:v>
                </c:pt>
                <c:pt idx="260">
                  <c:v>2.1944718410226542E-2</c:v>
                </c:pt>
                <c:pt idx="261">
                  <c:v>3.0501353909978771E-2</c:v>
                </c:pt>
                <c:pt idx="262">
                  <c:v>2.2017318524853415E-2</c:v>
                </c:pt>
                <c:pt idx="263">
                  <c:v>3.0501353909978771E-2</c:v>
                </c:pt>
                <c:pt idx="264">
                  <c:v>0.95473315668667214</c:v>
                </c:pt>
                <c:pt idx="265">
                  <c:v>9.6389477226171486E-3</c:v>
                </c:pt>
                <c:pt idx="266">
                  <c:v>1.1549123374917927E-3</c:v>
                </c:pt>
                <c:pt idx="267">
                  <c:v>1.0823122228649207E-3</c:v>
                </c:pt>
                <c:pt idx="268">
                  <c:v>1.0816909646541081E-3</c:v>
                </c:pt>
                <c:pt idx="269">
                  <c:v>9.6389477226171486E-3</c:v>
                </c:pt>
                <c:pt idx="270">
                  <c:v>1.1549123374917927E-3</c:v>
                </c:pt>
                <c:pt idx="271">
                  <c:v>1.0823122228649207E-3</c:v>
                </c:pt>
                <c:pt idx="272">
                  <c:v>9.6389477226171486E-3</c:v>
                </c:pt>
                <c:pt idx="273">
                  <c:v>1.1549123374917927E-3</c:v>
                </c:pt>
                <c:pt idx="274">
                  <c:v>9.6389477226171486E-3</c:v>
                </c:pt>
                <c:pt idx="275">
                  <c:v>0</c:v>
                </c:pt>
                <c:pt idx="276">
                  <c:v>0.1561355880030163</c:v>
                </c:pt>
                <c:pt idx="277">
                  <c:v>0.14765155261789095</c:v>
                </c:pt>
                <c:pt idx="278">
                  <c:v>0.14757895250326408</c:v>
                </c:pt>
                <c:pt idx="279">
                  <c:v>0.14757833124505326</c:v>
                </c:pt>
                <c:pt idx="280">
                  <c:v>0.1561355880030163</c:v>
                </c:pt>
                <c:pt idx="281">
                  <c:v>0.14765155261789095</c:v>
                </c:pt>
                <c:pt idx="282">
                  <c:v>0.14757895250326408</c:v>
                </c:pt>
                <c:pt idx="283">
                  <c:v>0.1561355880030163</c:v>
                </c:pt>
                <c:pt idx="284">
                  <c:v>0.14765155261789095</c:v>
                </c:pt>
                <c:pt idx="285">
                  <c:v>0.1561355880030163</c:v>
                </c:pt>
                <c:pt idx="286">
                  <c:v>0.90565801085276065</c:v>
                </c:pt>
                <c:pt idx="287">
                  <c:v>1.4546462306008295E-2</c:v>
                </c:pt>
                <c:pt idx="288">
                  <c:v>6.0624269208829368E-3</c:v>
                </c:pt>
                <c:pt idx="289">
                  <c:v>5.9898268062560656E-3</c:v>
                </c:pt>
                <c:pt idx="290">
                  <c:v>5.9892055480452525E-3</c:v>
                </c:pt>
                <c:pt idx="291">
                  <c:v>1.4546462306008295E-2</c:v>
                </c:pt>
                <c:pt idx="292">
                  <c:v>6.0624269208829368E-3</c:v>
                </c:pt>
                <c:pt idx="293">
                  <c:v>5.9898268062560656E-3</c:v>
                </c:pt>
                <c:pt idx="294">
                  <c:v>1.4546462306008295E-2</c:v>
                </c:pt>
                <c:pt idx="295">
                  <c:v>6.0624269208829368E-3</c:v>
                </c:pt>
                <c:pt idx="296">
                  <c:v>1.4546462306008295E-2</c:v>
                </c:pt>
                <c:pt idx="297">
                  <c:v>0.57259446441073658</c:v>
                </c:pt>
                <c:pt idx="298">
                  <c:v>4.7852816950210694E-2</c:v>
                </c:pt>
                <c:pt idx="299">
                  <c:v>3.9368781565085338E-2</c:v>
                </c:pt>
                <c:pt idx="300">
                  <c:v>3.9296181450458469E-2</c:v>
                </c:pt>
                <c:pt idx="301">
                  <c:v>3.9295560192247656E-2</c:v>
                </c:pt>
                <c:pt idx="302">
                  <c:v>4.7852816950210694E-2</c:v>
                </c:pt>
                <c:pt idx="303">
                  <c:v>3.9368781565085338E-2</c:v>
                </c:pt>
                <c:pt idx="304">
                  <c:v>3.9296181450458469E-2</c:v>
                </c:pt>
                <c:pt idx="305">
                  <c:v>4.7852816950210694E-2</c:v>
                </c:pt>
                <c:pt idx="306">
                  <c:v>3.9368781565085338E-2</c:v>
                </c:pt>
                <c:pt idx="307">
                  <c:v>4.7852816950210694E-2</c:v>
                </c:pt>
                <c:pt idx="308">
                  <c:v>0</c:v>
                </c:pt>
                <c:pt idx="309">
                  <c:v>0.15989004515624028</c:v>
                </c:pt>
                <c:pt idx="310">
                  <c:v>0.15140600977111493</c:v>
                </c:pt>
                <c:pt idx="311">
                  <c:v>0.15133340965648806</c:v>
                </c:pt>
                <c:pt idx="312">
                  <c:v>0.15133278839827724</c:v>
                </c:pt>
                <c:pt idx="313">
                  <c:v>0.15989004515624028</c:v>
                </c:pt>
                <c:pt idx="314">
                  <c:v>0.15140600977111493</c:v>
                </c:pt>
                <c:pt idx="315">
                  <c:v>0.15133340965648806</c:v>
                </c:pt>
                <c:pt idx="316">
                  <c:v>0.15989004515624028</c:v>
                </c:pt>
                <c:pt idx="317">
                  <c:v>0.15140600977111493</c:v>
                </c:pt>
                <c:pt idx="318">
                  <c:v>0.15989004515624028</c:v>
                </c:pt>
                <c:pt idx="319">
                  <c:v>0</c:v>
                </c:pt>
                <c:pt idx="320">
                  <c:v>0.30723473765759723</c:v>
                </c:pt>
                <c:pt idx="321">
                  <c:v>0.29875070227247186</c:v>
                </c:pt>
                <c:pt idx="322">
                  <c:v>0.29867810215784502</c:v>
                </c:pt>
                <c:pt idx="323">
                  <c:v>0.2986774808996342</c:v>
                </c:pt>
                <c:pt idx="324">
                  <c:v>0.30723473765759723</c:v>
                </c:pt>
                <c:pt idx="325">
                  <c:v>0.29875070227247186</c:v>
                </c:pt>
                <c:pt idx="326">
                  <c:v>0.29867810215784502</c:v>
                </c:pt>
                <c:pt idx="327">
                  <c:v>0.30723473765759723</c:v>
                </c:pt>
                <c:pt idx="328">
                  <c:v>0.29875070227247186</c:v>
                </c:pt>
                <c:pt idx="329">
                  <c:v>0.30723473765759723</c:v>
                </c:pt>
                <c:pt idx="330">
                  <c:v>0</c:v>
                </c:pt>
                <c:pt idx="331">
                  <c:v>0.1816005035645597</c:v>
                </c:pt>
                <c:pt idx="332">
                  <c:v>0.17311646817943435</c:v>
                </c:pt>
                <c:pt idx="333">
                  <c:v>0.17304386806480748</c:v>
                </c:pt>
                <c:pt idx="334">
                  <c:v>0.17304324680659666</c:v>
                </c:pt>
                <c:pt idx="335">
                  <c:v>0.1816005035645597</c:v>
                </c:pt>
                <c:pt idx="336">
                  <c:v>0.17311646817943435</c:v>
                </c:pt>
                <c:pt idx="337">
                  <c:v>0.17304386806480748</c:v>
                </c:pt>
                <c:pt idx="338">
                  <c:v>0.1816005035645597</c:v>
                </c:pt>
                <c:pt idx="339">
                  <c:v>0.17311646817943435</c:v>
                </c:pt>
                <c:pt idx="340">
                  <c:v>0.1816005035645597</c:v>
                </c:pt>
                <c:pt idx="341">
                  <c:v>0</c:v>
                </c:pt>
                <c:pt idx="342">
                  <c:v>0.1607380973771981</c:v>
                </c:pt>
                <c:pt idx="343">
                  <c:v>0.15225406199207275</c:v>
                </c:pt>
                <c:pt idx="344">
                  <c:v>0.15218146187744588</c:v>
                </c:pt>
                <c:pt idx="345">
                  <c:v>0.15218084061923506</c:v>
                </c:pt>
                <c:pt idx="346">
                  <c:v>0.1607380973771981</c:v>
                </c:pt>
                <c:pt idx="347">
                  <c:v>0.15225406199207275</c:v>
                </c:pt>
                <c:pt idx="348">
                  <c:v>0.15218146187744588</c:v>
                </c:pt>
                <c:pt idx="349">
                  <c:v>0.1607380973771981</c:v>
                </c:pt>
                <c:pt idx="350">
                  <c:v>0.15225406199207275</c:v>
                </c:pt>
                <c:pt idx="351">
                  <c:v>0.1607380973771981</c:v>
                </c:pt>
                <c:pt idx="352">
                  <c:v>0</c:v>
                </c:pt>
                <c:pt idx="353">
                  <c:v>0.30723473765759723</c:v>
                </c:pt>
                <c:pt idx="354">
                  <c:v>0.29875070227247186</c:v>
                </c:pt>
                <c:pt idx="355">
                  <c:v>0.29867810215784502</c:v>
                </c:pt>
                <c:pt idx="356">
                  <c:v>0.2986774808996342</c:v>
                </c:pt>
                <c:pt idx="357">
                  <c:v>0.30723473765759723</c:v>
                </c:pt>
                <c:pt idx="358">
                  <c:v>0.29875070227247186</c:v>
                </c:pt>
                <c:pt idx="359">
                  <c:v>0.29867810215784502</c:v>
                </c:pt>
                <c:pt idx="360">
                  <c:v>0.30723473765759723</c:v>
                </c:pt>
                <c:pt idx="361">
                  <c:v>0.29875070227247186</c:v>
                </c:pt>
                <c:pt idx="362">
                  <c:v>0.30723473765759723</c:v>
                </c:pt>
                <c:pt idx="363">
                  <c:v>0</c:v>
                </c:pt>
                <c:pt idx="364">
                  <c:v>0.16564561196058925</c:v>
                </c:pt>
                <c:pt idx="365">
                  <c:v>0.1571615765754639</c:v>
                </c:pt>
                <c:pt idx="366">
                  <c:v>0.15708897646083703</c:v>
                </c:pt>
                <c:pt idx="367">
                  <c:v>0.15708835520262621</c:v>
                </c:pt>
                <c:pt idx="368">
                  <c:v>0.16564561196058925</c:v>
                </c:pt>
                <c:pt idx="369">
                  <c:v>0.1571615765754639</c:v>
                </c:pt>
                <c:pt idx="370">
                  <c:v>0.15708897646083703</c:v>
                </c:pt>
                <c:pt idx="371">
                  <c:v>0.16564561196058925</c:v>
                </c:pt>
                <c:pt idx="372">
                  <c:v>0.1571615765754639</c:v>
                </c:pt>
                <c:pt idx="373">
                  <c:v>0.16564561196058925</c:v>
                </c:pt>
                <c:pt idx="374">
                  <c:v>0</c:v>
                </c:pt>
                <c:pt idx="375">
                  <c:v>0.19895196660479164</c:v>
                </c:pt>
                <c:pt idx="376">
                  <c:v>0.19046793121966629</c:v>
                </c:pt>
                <c:pt idx="377">
                  <c:v>0.19039533110503942</c:v>
                </c:pt>
                <c:pt idx="378">
                  <c:v>0.1903947098468286</c:v>
                </c:pt>
                <c:pt idx="379">
                  <c:v>0.19895196660479164</c:v>
                </c:pt>
                <c:pt idx="380">
                  <c:v>0.19046793121966629</c:v>
                </c:pt>
                <c:pt idx="381">
                  <c:v>0.19039533110503942</c:v>
                </c:pt>
                <c:pt idx="382">
                  <c:v>0.19895196660479164</c:v>
                </c:pt>
                <c:pt idx="383">
                  <c:v>0.19046793121966629</c:v>
                </c:pt>
                <c:pt idx="384">
                  <c:v>0.19895196660479164</c:v>
                </c:pt>
                <c:pt idx="385">
                  <c:v>0.95011162739592059</c:v>
                </c:pt>
                <c:pt idx="386">
                  <c:v>1.0101100651692294E-2</c:v>
                </c:pt>
                <c:pt idx="387">
                  <c:v>1.6170652665669371E-3</c:v>
                </c:pt>
                <c:pt idx="388">
                  <c:v>1.5444651519400652E-3</c:v>
                </c:pt>
                <c:pt idx="389">
                  <c:v>1.5438438937292525E-3</c:v>
                </c:pt>
                <c:pt idx="390">
                  <c:v>1.0101100651692294E-2</c:v>
                </c:pt>
                <c:pt idx="391">
                  <c:v>1.6170652665669371E-3</c:v>
                </c:pt>
                <c:pt idx="392">
                  <c:v>1.5444651519400652E-3</c:v>
                </c:pt>
                <c:pt idx="393">
                  <c:v>1.0101100651692294E-2</c:v>
                </c:pt>
                <c:pt idx="394">
                  <c:v>1.6170652665669371E-3</c:v>
                </c:pt>
                <c:pt idx="395">
                  <c:v>1.0101100651692294E-2</c:v>
                </c:pt>
                <c:pt idx="396">
                  <c:v>0</c:v>
                </c:pt>
                <c:pt idx="397">
                  <c:v>0.15744579315304924</c:v>
                </c:pt>
                <c:pt idx="398">
                  <c:v>0.14896175776792389</c:v>
                </c:pt>
                <c:pt idx="399">
                  <c:v>0.14888915765329702</c:v>
                </c:pt>
                <c:pt idx="400">
                  <c:v>0.1488885363950862</c:v>
                </c:pt>
                <c:pt idx="401">
                  <c:v>0.15744579315304924</c:v>
                </c:pt>
                <c:pt idx="402">
                  <c:v>0.14896175776792389</c:v>
                </c:pt>
                <c:pt idx="403">
                  <c:v>0.14888915765329702</c:v>
                </c:pt>
                <c:pt idx="404">
                  <c:v>0.15744579315304924</c:v>
                </c:pt>
                <c:pt idx="405">
                  <c:v>0.14896175776792389</c:v>
                </c:pt>
                <c:pt idx="406">
                  <c:v>0.15744579315304924</c:v>
                </c:pt>
                <c:pt idx="407">
                  <c:v>0.73300704331272626</c:v>
                </c:pt>
                <c:pt idx="408">
                  <c:v>3.1811559060011728E-2</c:v>
                </c:pt>
                <c:pt idx="409">
                  <c:v>2.3327523674886372E-2</c:v>
                </c:pt>
                <c:pt idx="410">
                  <c:v>2.3254923560259499E-2</c:v>
                </c:pt>
                <c:pt idx="411">
                  <c:v>2.3254302302048686E-2</c:v>
                </c:pt>
                <c:pt idx="412">
                  <c:v>3.1811559060011728E-2</c:v>
                </c:pt>
                <c:pt idx="413">
                  <c:v>2.3327523674886372E-2</c:v>
                </c:pt>
                <c:pt idx="414">
                  <c:v>2.3254923560259499E-2</c:v>
                </c:pt>
                <c:pt idx="415">
                  <c:v>3.1811559060011728E-2</c:v>
                </c:pt>
                <c:pt idx="416">
                  <c:v>2.3327523674886372E-2</c:v>
                </c:pt>
                <c:pt idx="417">
                  <c:v>3.1811559060011728E-2</c:v>
                </c:pt>
                <c:pt idx="418">
                  <c:v>0.94163110518634252</c:v>
                </c:pt>
                <c:pt idx="419">
                  <c:v>1.0949152872650109E-2</c:v>
                </c:pt>
                <c:pt idx="420">
                  <c:v>2.4651174875247525E-3</c:v>
                </c:pt>
                <c:pt idx="421">
                  <c:v>2.3925173728978804E-3</c:v>
                </c:pt>
                <c:pt idx="422">
                  <c:v>2.3918961146870677E-3</c:v>
                </c:pt>
                <c:pt idx="423">
                  <c:v>1.0949152872650109E-2</c:v>
                </c:pt>
                <c:pt idx="424">
                  <c:v>2.4651174875247525E-3</c:v>
                </c:pt>
                <c:pt idx="425">
                  <c:v>2.3925173728978804E-3</c:v>
                </c:pt>
                <c:pt idx="426">
                  <c:v>1.0949152872650109E-2</c:v>
                </c:pt>
                <c:pt idx="427">
                  <c:v>2.4651174875247525E-3</c:v>
                </c:pt>
                <c:pt idx="428">
                  <c:v>1.0949152872650109E-2</c:v>
                </c:pt>
                <c:pt idx="429">
                  <c:v>0</c:v>
                </c:pt>
                <c:pt idx="430">
                  <c:v>0.15744579315304924</c:v>
                </c:pt>
                <c:pt idx="431">
                  <c:v>0.14896175776792389</c:v>
                </c:pt>
                <c:pt idx="432">
                  <c:v>0.14888915765329702</c:v>
                </c:pt>
                <c:pt idx="433">
                  <c:v>0.1488885363950862</c:v>
                </c:pt>
                <c:pt idx="434">
                  <c:v>0.15744579315304924</c:v>
                </c:pt>
                <c:pt idx="435">
                  <c:v>0.14896175776792389</c:v>
                </c:pt>
                <c:pt idx="436">
                  <c:v>0.14888915765329702</c:v>
                </c:pt>
                <c:pt idx="437">
                  <c:v>0.15744579315304924</c:v>
                </c:pt>
                <c:pt idx="438">
                  <c:v>0.14896175776792389</c:v>
                </c:pt>
                <c:pt idx="439">
                  <c:v>0.15744579315304924</c:v>
                </c:pt>
                <c:pt idx="440">
                  <c:v>0.89255595935243104</c:v>
                </c:pt>
                <c:pt idx="441">
                  <c:v>1.5856667456041255E-2</c:v>
                </c:pt>
                <c:pt idx="442">
                  <c:v>7.3726320709158969E-3</c:v>
                </c:pt>
                <c:pt idx="443">
                  <c:v>7.3000319562890256E-3</c:v>
                </c:pt>
                <c:pt idx="444">
                  <c:v>7.2994106980782125E-3</c:v>
                </c:pt>
                <c:pt idx="445">
                  <c:v>1.5856667456041255E-2</c:v>
                </c:pt>
                <c:pt idx="446">
                  <c:v>7.3726320709158969E-3</c:v>
                </c:pt>
                <c:pt idx="447">
                  <c:v>7.3000319562890256E-3</c:v>
                </c:pt>
                <c:pt idx="448">
                  <c:v>1.5856667456041255E-2</c:v>
                </c:pt>
                <c:pt idx="449">
                  <c:v>7.3726320709158969E-3</c:v>
                </c:pt>
                <c:pt idx="450">
                  <c:v>1.5856667456041255E-2</c:v>
                </c:pt>
                <c:pt idx="451">
                  <c:v>0.55949241291040708</c:v>
                </c:pt>
                <c:pt idx="452">
                  <c:v>4.9163022100243654E-2</c:v>
                </c:pt>
                <c:pt idx="453">
                  <c:v>4.0678986715118298E-2</c:v>
                </c:pt>
                <c:pt idx="454">
                  <c:v>4.0606386600491429E-2</c:v>
                </c:pt>
                <c:pt idx="455">
                  <c:v>4.0605765342280616E-2</c:v>
                </c:pt>
                <c:pt idx="456">
                  <c:v>4.9163022100243654E-2</c:v>
                </c:pt>
                <c:pt idx="457">
                  <c:v>4.0678986715118298E-2</c:v>
                </c:pt>
                <c:pt idx="458">
                  <c:v>4.0606386600491429E-2</c:v>
                </c:pt>
                <c:pt idx="459">
                  <c:v>4.9163022100243654E-2</c:v>
                </c:pt>
                <c:pt idx="460">
                  <c:v>4.0678986715118298E-2</c:v>
                </c:pt>
                <c:pt idx="461">
                  <c:v>4.9163022100243654E-2</c:v>
                </c:pt>
                <c:pt idx="462">
                  <c:v>0.86353387974951545</c:v>
                </c:pt>
                <c:pt idx="463">
                  <c:v>1.875887541633281E-2</c:v>
                </c:pt>
                <c:pt idx="464">
                  <c:v>1.0274840031207454E-2</c:v>
                </c:pt>
                <c:pt idx="465">
                  <c:v>1.0202239916580581E-2</c:v>
                </c:pt>
                <c:pt idx="466">
                  <c:v>1.0201618658369769E-2</c:v>
                </c:pt>
                <c:pt idx="467">
                  <c:v>1.875887541633281E-2</c:v>
                </c:pt>
                <c:pt idx="468">
                  <c:v>1.0274840031207454E-2</c:v>
                </c:pt>
                <c:pt idx="469">
                  <c:v>1.0202239916580581E-2</c:v>
                </c:pt>
                <c:pt idx="470">
                  <c:v>1.875887541633281E-2</c:v>
                </c:pt>
                <c:pt idx="471">
                  <c:v>1.0274840031207454E-2</c:v>
                </c:pt>
                <c:pt idx="472">
                  <c:v>1.875887541633281E-2</c:v>
                </c:pt>
                <c:pt idx="473">
                  <c:v>0</c:v>
                </c:pt>
                <c:pt idx="474">
                  <c:v>0.16610356791768977</c:v>
                </c:pt>
                <c:pt idx="475">
                  <c:v>0.15761953253256442</c:v>
                </c:pt>
                <c:pt idx="476">
                  <c:v>0.15754693241793755</c:v>
                </c:pt>
                <c:pt idx="477">
                  <c:v>0.15754631115972673</c:v>
                </c:pt>
                <c:pt idx="478">
                  <c:v>0.16610356791768977</c:v>
                </c:pt>
                <c:pt idx="479">
                  <c:v>0.15761953253256442</c:v>
                </c:pt>
                <c:pt idx="480">
                  <c:v>0.15754693241793755</c:v>
                </c:pt>
                <c:pt idx="481">
                  <c:v>0.16610356791768977</c:v>
                </c:pt>
                <c:pt idx="482">
                  <c:v>0.15761953253256442</c:v>
                </c:pt>
                <c:pt idx="483">
                  <c:v>0.16610356791768977</c:v>
                </c:pt>
                <c:pt idx="484">
                  <c:v>0.64642929566632112</c:v>
                </c:pt>
                <c:pt idx="485">
                  <c:v>4.0469333824652245E-2</c:v>
                </c:pt>
                <c:pt idx="486">
                  <c:v>3.1985298439526889E-2</c:v>
                </c:pt>
                <c:pt idx="487">
                  <c:v>3.191269832490002E-2</c:v>
                </c:pt>
                <c:pt idx="488">
                  <c:v>3.1912077066689207E-2</c:v>
                </c:pt>
                <c:pt idx="489">
                  <c:v>4.0469333824652245E-2</c:v>
                </c:pt>
                <c:pt idx="490">
                  <c:v>3.1985298439526889E-2</c:v>
                </c:pt>
                <c:pt idx="491">
                  <c:v>3.191269832490002E-2</c:v>
                </c:pt>
                <c:pt idx="492">
                  <c:v>4.0469333824652245E-2</c:v>
                </c:pt>
                <c:pt idx="493">
                  <c:v>3.1985298439526889E-2</c:v>
                </c:pt>
                <c:pt idx="494">
                  <c:v>4.0469333824652245E-2</c:v>
                </c:pt>
                <c:pt idx="495">
                  <c:v>0.85505335753993728</c:v>
                </c:pt>
                <c:pt idx="496">
                  <c:v>1.9606927637290626E-2</c:v>
                </c:pt>
                <c:pt idx="497">
                  <c:v>1.1122892252165268E-2</c:v>
                </c:pt>
                <c:pt idx="498">
                  <c:v>1.1050292137538395E-2</c:v>
                </c:pt>
                <c:pt idx="499">
                  <c:v>1.1049670879327584E-2</c:v>
                </c:pt>
                <c:pt idx="500">
                  <c:v>1.9606927637290626E-2</c:v>
                </c:pt>
                <c:pt idx="501">
                  <c:v>1.1122892252165268E-2</c:v>
                </c:pt>
                <c:pt idx="502">
                  <c:v>1.1050292137538395E-2</c:v>
                </c:pt>
                <c:pt idx="503">
                  <c:v>1.9606927637290626E-2</c:v>
                </c:pt>
                <c:pt idx="504">
                  <c:v>1.1122892252165268E-2</c:v>
                </c:pt>
                <c:pt idx="505">
                  <c:v>1.9606927637290626E-2</c:v>
                </c:pt>
                <c:pt idx="506">
                  <c:v>0</c:v>
                </c:pt>
                <c:pt idx="507">
                  <c:v>0.16610356791768977</c:v>
                </c:pt>
                <c:pt idx="508">
                  <c:v>0.15761953253256442</c:v>
                </c:pt>
                <c:pt idx="509">
                  <c:v>0.15754693241793755</c:v>
                </c:pt>
                <c:pt idx="510">
                  <c:v>0.15754631115972673</c:v>
                </c:pt>
                <c:pt idx="511">
                  <c:v>0.16610356791768977</c:v>
                </c:pt>
                <c:pt idx="512">
                  <c:v>0.15761953253256442</c:v>
                </c:pt>
                <c:pt idx="513">
                  <c:v>0.15754693241793755</c:v>
                </c:pt>
                <c:pt idx="514">
                  <c:v>0.16610356791768977</c:v>
                </c:pt>
                <c:pt idx="515">
                  <c:v>0.15761953253256442</c:v>
                </c:pt>
                <c:pt idx="516">
                  <c:v>0.16610356791768977</c:v>
                </c:pt>
                <c:pt idx="517">
                  <c:v>0.8059782117060259</c:v>
                </c:pt>
                <c:pt idx="518">
                  <c:v>2.4514442220681769E-2</c:v>
                </c:pt>
                <c:pt idx="519">
                  <c:v>1.6030406835556413E-2</c:v>
                </c:pt>
                <c:pt idx="520">
                  <c:v>1.595780672092954E-2</c:v>
                </c:pt>
                <c:pt idx="521">
                  <c:v>1.5957185462718727E-2</c:v>
                </c:pt>
                <c:pt idx="522">
                  <c:v>2.4514442220681769E-2</c:v>
                </c:pt>
                <c:pt idx="523">
                  <c:v>1.6030406835556413E-2</c:v>
                </c:pt>
                <c:pt idx="524">
                  <c:v>1.595780672092954E-2</c:v>
                </c:pt>
                <c:pt idx="525">
                  <c:v>2.4514442220681769E-2</c:v>
                </c:pt>
                <c:pt idx="526">
                  <c:v>1.6030406835556413E-2</c:v>
                </c:pt>
                <c:pt idx="527">
                  <c:v>2.4514442220681769E-2</c:v>
                </c:pt>
                <c:pt idx="528">
                  <c:v>0.47291466526400194</c:v>
                </c:pt>
                <c:pt idx="529">
                  <c:v>5.7820796864884172E-2</c:v>
                </c:pt>
                <c:pt idx="530">
                  <c:v>4.9336761479758816E-2</c:v>
                </c:pt>
                <c:pt idx="531">
                  <c:v>4.9264161365131946E-2</c:v>
                </c:pt>
                <c:pt idx="532">
                  <c:v>4.9263540106921133E-2</c:v>
                </c:pt>
                <c:pt idx="533">
                  <c:v>5.7820796864884172E-2</c:v>
                </c:pt>
                <c:pt idx="534">
                  <c:v>4.9336761479758816E-2</c:v>
                </c:pt>
                <c:pt idx="535">
                  <c:v>4.9264161365131946E-2</c:v>
                </c:pt>
                <c:pt idx="536">
                  <c:v>5.7820796864884172E-2</c:v>
                </c:pt>
                <c:pt idx="537">
                  <c:v>4.9336761479758816E-2</c:v>
                </c:pt>
                <c:pt idx="538">
                  <c:v>5.7820796864884172E-2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F4-4C73-A3D0-62B88EDA8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811280"/>
        <c:axId val="381805048"/>
      </c:scatterChart>
      <c:valAx>
        <c:axId val="38181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805048"/>
        <c:crosses val="autoZero"/>
        <c:crossBetween val="midCat"/>
      </c:valAx>
      <c:valAx>
        <c:axId val="381805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81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Danger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simul_1a_1b_2a!$K$61:$K$599</c:f>
              <c:numCache>
                <c:formatCode>General</c:formatCode>
                <c:ptCount val="539"/>
                <c:pt idx="0">
                  <c:v>3.772506228178913</c:v>
                </c:pt>
                <c:pt idx="1">
                  <c:v>2.4519565706972151E-3</c:v>
                </c:pt>
                <c:pt idx="2">
                  <c:v>4.5029543305168162E-4</c:v>
                </c:pt>
                <c:pt idx="3">
                  <c:v>2.4829742120945181E-6</c:v>
                </c:pt>
                <c:pt idx="4">
                  <c:v>1.3145632238906214E-8</c:v>
                </c:pt>
                <c:pt idx="5">
                  <c:v>3.6253505539000086E-2</c:v>
                </c:pt>
                <c:pt idx="6">
                  <c:v>4.9405247002000971E-4</c:v>
                </c:pt>
                <c:pt idx="7">
                  <c:v>-1.6284209449624986E-7</c:v>
                </c:pt>
                <c:pt idx="8">
                  <c:v>5.0746793652815834E-2</c:v>
                </c:pt>
                <c:pt idx="9">
                  <c:v>4.4639160360714818E-4</c:v>
                </c:pt>
                <c:pt idx="10">
                  <c:v>5.4345522828018085E-2</c:v>
                </c:pt>
                <c:pt idx="11">
                  <c:v>0</c:v>
                </c:pt>
                <c:pt idx="12">
                  <c:v>0.23170909254688377</c:v>
                </c:pt>
                <c:pt idx="13">
                  <c:v>0.48207117784516251</c:v>
                </c:pt>
                <c:pt idx="14">
                  <c:v>0.5151752576847346</c:v>
                </c:pt>
                <c:pt idx="15">
                  <c:v>1.0130756077994236</c:v>
                </c:pt>
                <c:pt idx="16">
                  <c:v>0.29885578978012511</c:v>
                </c:pt>
                <c:pt idx="17">
                  <c:v>0.50075130280302949</c:v>
                </c:pt>
                <c:pt idx="18">
                  <c:v>0.77385524583364773</c:v>
                </c:pt>
                <c:pt idx="19">
                  <c:v>0.91422003655718431</c:v>
                </c:pt>
                <c:pt idx="20">
                  <c:v>1.2572167816556385</c:v>
                </c:pt>
                <c:pt idx="21">
                  <c:v>0.44885292378762565</c:v>
                </c:pt>
                <c:pt idx="22">
                  <c:v>5.4443662846473515</c:v>
                </c:pt>
                <c:pt idx="23">
                  <c:v>0.12184731587624875</c:v>
                </c:pt>
                <c:pt idx="24">
                  <c:v>0.11372478099668941</c:v>
                </c:pt>
                <c:pt idx="25">
                  <c:v>6.9588731873216597E-2</c:v>
                </c:pt>
                <c:pt idx="26">
                  <c:v>4.4190063007718473E-2</c:v>
                </c:pt>
                <c:pt idx="27">
                  <c:v>0.10024647803546059</c:v>
                </c:pt>
                <c:pt idx="28">
                  <c:v>9.1390580483573292E-2</c:v>
                </c:pt>
                <c:pt idx="29">
                  <c:v>0.10971586397478483</c:v>
                </c:pt>
                <c:pt idx="30">
                  <c:v>0.1419308609137325</c:v>
                </c:pt>
                <c:pt idx="31">
                  <c:v>0.11625275509849695</c:v>
                </c:pt>
                <c:pt idx="32">
                  <c:v>9.1932053161102062E-2</c:v>
                </c:pt>
                <c:pt idx="33">
                  <c:v>4.6287127558380838</c:v>
                </c:pt>
                <c:pt idx="34">
                  <c:v>4.3419145758269079E-2</c:v>
                </c:pt>
                <c:pt idx="35">
                  <c:v>4.3959573179415054E-3</c:v>
                </c:pt>
                <c:pt idx="36">
                  <c:v>3.7064301864017219E-3</c:v>
                </c:pt>
                <c:pt idx="37">
                  <c:v>2.3097902146013123E-3</c:v>
                </c:pt>
                <c:pt idx="38">
                  <c:v>4.7122948375706929E-2</c:v>
                </c:pt>
                <c:pt idx="39">
                  <c:v>5.6821052615751251E-3</c:v>
                </c:pt>
                <c:pt idx="40">
                  <c:v>1.3252960462566249E-3</c:v>
                </c:pt>
                <c:pt idx="41">
                  <c:v>5.5190298819027352E-2</c:v>
                </c:pt>
                <c:pt idx="42">
                  <c:v>3.1561280384983176E-3</c:v>
                </c:pt>
                <c:pt idx="43">
                  <c:v>5.7362411971551751E-2</c:v>
                </c:pt>
                <c:pt idx="44">
                  <c:v>0</c:v>
                </c:pt>
                <c:pt idx="45">
                  <c:v>0.45422360500826831</c:v>
                </c:pt>
                <c:pt idx="46">
                  <c:v>0.81981420864017907</c:v>
                </c:pt>
                <c:pt idx="47">
                  <c:v>0.33935086106784024</c:v>
                </c:pt>
                <c:pt idx="48">
                  <c:v>0.64641464120209569</c:v>
                </c:pt>
                <c:pt idx="49">
                  <c:v>0.37740363446978759</c:v>
                </c:pt>
                <c:pt idx="50">
                  <c:v>0.54997611957228276</c:v>
                </c:pt>
                <c:pt idx="51">
                  <c:v>0.56063481522261749</c:v>
                </c:pt>
                <c:pt idx="52">
                  <c:v>0.27496834527206476</c:v>
                </c:pt>
                <c:pt idx="53">
                  <c:v>0.2141669096874301</c:v>
                </c:pt>
                <c:pt idx="54">
                  <c:v>1.29513064368728</c:v>
                </c:pt>
                <c:pt idx="55">
                  <c:v>3.6936848685536403</c:v>
                </c:pt>
                <c:pt idx="56">
                  <c:v>8.9860780548609728E-2</c:v>
                </c:pt>
                <c:pt idx="57">
                  <c:v>1.9159234191806353E-2</c:v>
                </c:pt>
                <c:pt idx="58">
                  <c:v>1.7906180233538026E-2</c:v>
                </c:pt>
                <c:pt idx="59">
                  <c:v>1.1769497752677273E-2</c:v>
                </c:pt>
                <c:pt idx="60">
                  <c:v>6.3671946730360834E-2</c:v>
                </c:pt>
                <c:pt idx="61">
                  <c:v>1.0317685643300678E-2</c:v>
                </c:pt>
                <c:pt idx="62">
                  <c:v>1.9445831070756158E-2</c:v>
                </c:pt>
                <c:pt idx="63">
                  <c:v>9.4118113629278258E-3</c:v>
                </c:pt>
                <c:pt idx="64">
                  <c:v>3.0604592420486194E-2</c:v>
                </c:pt>
                <c:pt idx="65">
                  <c:v>4.1584240175271271E-2</c:v>
                </c:pt>
                <c:pt idx="66">
                  <c:v>3.1728290707379463</c:v>
                </c:pt>
                <c:pt idx="67">
                  <c:v>0.17805100333617155</c:v>
                </c:pt>
                <c:pt idx="68">
                  <c:v>9.8834414879182819E-2</c:v>
                </c:pt>
                <c:pt idx="69">
                  <c:v>0.22603957003796213</c:v>
                </c:pt>
                <c:pt idx="70">
                  <c:v>7.1355706512759243E-2</c:v>
                </c:pt>
                <c:pt idx="71">
                  <c:v>0.2955050614468886</c:v>
                </c:pt>
                <c:pt idx="72">
                  <c:v>0.28564496484577356</c:v>
                </c:pt>
                <c:pt idx="73">
                  <c:v>0.18409305243961041</c:v>
                </c:pt>
                <c:pt idx="74">
                  <c:v>0.12924167176926787</c:v>
                </c:pt>
                <c:pt idx="75">
                  <c:v>0.192665358180232</c:v>
                </c:pt>
                <c:pt idx="76">
                  <c:v>0.35614513684600219</c:v>
                </c:pt>
                <c:pt idx="77">
                  <c:v>0</c:v>
                </c:pt>
                <c:pt idx="78">
                  <c:v>0.86288654616203142</c:v>
                </c:pt>
                <c:pt idx="79">
                  <c:v>0.76045749340987867</c:v>
                </c:pt>
                <c:pt idx="80">
                  <c:v>0.73852213714746484</c:v>
                </c:pt>
                <c:pt idx="81">
                  <c:v>-0.14748356197781423</c:v>
                </c:pt>
                <c:pt idx="82">
                  <c:v>0.886104989116409</c:v>
                </c:pt>
                <c:pt idx="83">
                  <c:v>0.52227825733996858</c:v>
                </c:pt>
                <c:pt idx="84">
                  <c:v>0.47821708178022093</c:v>
                </c:pt>
                <c:pt idx="85">
                  <c:v>0.75766747117423805</c:v>
                </c:pt>
                <c:pt idx="86">
                  <c:v>0.44134061010258274</c:v>
                </c:pt>
                <c:pt idx="87">
                  <c:v>0.9918638490887679</c:v>
                </c:pt>
                <c:pt idx="88">
                  <c:v>0</c:v>
                </c:pt>
                <c:pt idx="89">
                  <c:v>0.39078498355547464</c:v>
                </c:pt>
                <c:pt idx="90">
                  <c:v>1.9854610895536582</c:v>
                </c:pt>
                <c:pt idx="91">
                  <c:v>2.2044975899186445</c:v>
                </c:pt>
                <c:pt idx="92">
                  <c:v>1.0994519438530614</c:v>
                </c:pt>
                <c:pt idx="93">
                  <c:v>1.6968852799898666</c:v>
                </c:pt>
                <c:pt idx="94">
                  <c:v>1.1734804741650104</c:v>
                </c:pt>
                <c:pt idx="95">
                  <c:v>0.51189624371045173</c:v>
                </c:pt>
                <c:pt idx="96">
                  <c:v>0.78812506370601054</c:v>
                </c:pt>
                <c:pt idx="97">
                  <c:v>1.6205931640141913</c:v>
                </c:pt>
                <c:pt idx="98">
                  <c:v>1.7727975584817453</c:v>
                </c:pt>
                <c:pt idx="99">
                  <c:v>0</c:v>
                </c:pt>
                <c:pt idx="100">
                  <c:v>0.4976154253036289</c:v>
                </c:pt>
                <c:pt idx="101">
                  <c:v>1.3867472940851575</c:v>
                </c:pt>
                <c:pt idx="102">
                  <c:v>0.7576928339319644</c:v>
                </c:pt>
                <c:pt idx="103">
                  <c:v>1.0503966485579581</c:v>
                </c:pt>
                <c:pt idx="104">
                  <c:v>0.6889378312103237</c:v>
                </c:pt>
                <c:pt idx="105">
                  <c:v>8.1409949334574946E-2</c:v>
                </c:pt>
                <c:pt idx="106">
                  <c:v>-9.5944127840125737E-2</c:v>
                </c:pt>
                <c:pt idx="107">
                  <c:v>0.45216637097196383</c:v>
                </c:pt>
                <c:pt idx="108">
                  <c:v>1.0030601491629265</c:v>
                </c:pt>
                <c:pt idx="109">
                  <c:v>1.3911776107751448</c:v>
                </c:pt>
                <c:pt idx="110">
                  <c:v>0</c:v>
                </c:pt>
                <c:pt idx="111">
                  <c:v>0.87635060811950838</c:v>
                </c:pt>
                <c:pt idx="112">
                  <c:v>0.69527704664690848</c:v>
                </c:pt>
                <c:pt idx="113">
                  <c:v>0.51460791528171657</c:v>
                </c:pt>
                <c:pt idx="114">
                  <c:v>1.084355453502913</c:v>
                </c:pt>
                <c:pt idx="115">
                  <c:v>0.72229712342367247</c:v>
                </c:pt>
                <c:pt idx="116">
                  <c:v>0.31063397300829509</c:v>
                </c:pt>
                <c:pt idx="117">
                  <c:v>1.2581027480377589</c:v>
                </c:pt>
                <c:pt idx="118">
                  <c:v>0.57781072614704576</c:v>
                </c:pt>
                <c:pt idx="119">
                  <c:v>0.39163837837162435</c:v>
                </c:pt>
                <c:pt idx="120">
                  <c:v>0.59622038569520341</c:v>
                </c:pt>
                <c:pt idx="121">
                  <c:v>0</c:v>
                </c:pt>
                <c:pt idx="122">
                  <c:v>0.20449895512880276</c:v>
                </c:pt>
                <c:pt idx="123">
                  <c:v>1.5423533043502617</c:v>
                </c:pt>
                <c:pt idx="124">
                  <c:v>1.406159252634533</c:v>
                </c:pt>
                <c:pt idx="125">
                  <c:v>0.60091846444194041</c:v>
                </c:pt>
                <c:pt idx="126">
                  <c:v>0.91607758718362364</c:v>
                </c:pt>
                <c:pt idx="127">
                  <c:v>0.4481406372606469</c:v>
                </c:pt>
                <c:pt idx="128">
                  <c:v>1.3717402722593857</c:v>
                </c:pt>
                <c:pt idx="129">
                  <c:v>1.8759565207602198</c:v>
                </c:pt>
                <c:pt idx="130">
                  <c:v>1.3540192130842503</c:v>
                </c:pt>
                <c:pt idx="131">
                  <c:v>1.9574882603178838</c:v>
                </c:pt>
                <c:pt idx="132">
                  <c:v>0</c:v>
                </c:pt>
                <c:pt idx="133">
                  <c:v>0.48823677521878917</c:v>
                </c:pt>
                <c:pt idx="134">
                  <c:v>0.3494806923631002</c:v>
                </c:pt>
                <c:pt idx="135">
                  <c:v>0.13044128615646</c:v>
                </c:pt>
                <c:pt idx="136">
                  <c:v>0.8468200476871085</c:v>
                </c:pt>
                <c:pt idx="137">
                  <c:v>0.80954746523574173</c:v>
                </c:pt>
                <c:pt idx="138">
                  <c:v>0.98315619225563367</c:v>
                </c:pt>
                <c:pt idx="139">
                  <c:v>0.56632251182641291</c:v>
                </c:pt>
                <c:pt idx="140">
                  <c:v>0.9744155876930467</c:v>
                </c:pt>
                <c:pt idx="141">
                  <c:v>0.54802337185691452</c:v>
                </c:pt>
                <c:pt idx="142">
                  <c:v>0.75701114603798558</c:v>
                </c:pt>
                <c:pt idx="143">
                  <c:v>0</c:v>
                </c:pt>
                <c:pt idx="144">
                  <c:v>1.1361018829628982</c:v>
                </c:pt>
                <c:pt idx="145">
                  <c:v>0.78238525334240305</c:v>
                </c:pt>
                <c:pt idx="146">
                  <c:v>1.7745320798952189</c:v>
                </c:pt>
                <c:pt idx="147">
                  <c:v>6.359568620577119E-2</c:v>
                </c:pt>
                <c:pt idx="148">
                  <c:v>0.84994030177158075</c:v>
                </c:pt>
                <c:pt idx="149">
                  <c:v>0.47072832255406633</c:v>
                </c:pt>
                <c:pt idx="150">
                  <c:v>0.64855060479356186</c:v>
                </c:pt>
                <c:pt idx="151">
                  <c:v>0.7250325421471211</c:v>
                </c:pt>
                <c:pt idx="152">
                  <c:v>1.0736974619157345</c:v>
                </c:pt>
                <c:pt idx="153">
                  <c:v>1.0264563274392593</c:v>
                </c:pt>
                <c:pt idx="154">
                  <c:v>3.3274775933416838</c:v>
                </c:pt>
                <c:pt idx="155">
                  <c:v>0.13006648614288968</c:v>
                </c:pt>
                <c:pt idx="156">
                  <c:v>0.11695087286446468</c:v>
                </c:pt>
                <c:pt idx="157">
                  <c:v>0.1842917178875445</c:v>
                </c:pt>
                <c:pt idx="158">
                  <c:v>8.0546167963977358E-2</c:v>
                </c:pt>
                <c:pt idx="159">
                  <c:v>5.3259134546987205E-2</c:v>
                </c:pt>
                <c:pt idx="160">
                  <c:v>4.758603113396527E-2</c:v>
                </c:pt>
                <c:pt idx="161">
                  <c:v>3.1334576494007525E-2</c:v>
                </c:pt>
                <c:pt idx="162">
                  <c:v>0.15013948848422617</c:v>
                </c:pt>
                <c:pt idx="163">
                  <c:v>4.0351541190202962E-2</c:v>
                </c:pt>
                <c:pt idx="164">
                  <c:v>0.14490678442517671</c:v>
                </c:pt>
                <c:pt idx="165">
                  <c:v>0</c:v>
                </c:pt>
                <c:pt idx="166">
                  <c:v>0.29369839494936534</c:v>
                </c:pt>
                <c:pt idx="167">
                  <c:v>0.66706198379407555</c:v>
                </c:pt>
                <c:pt idx="168">
                  <c:v>1.0264944126784485</c:v>
                </c:pt>
                <c:pt idx="169">
                  <c:v>0.97469715595717199</c:v>
                </c:pt>
                <c:pt idx="170">
                  <c:v>1.1605883483702282</c:v>
                </c:pt>
                <c:pt idx="171">
                  <c:v>0.43151308861336196</c:v>
                </c:pt>
                <c:pt idx="172">
                  <c:v>0.67756258042129236</c:v>
                </c:pt>
                <c:pt idx="173">
                  <c:v>0.1944775088952522</c:v>
                </c:pt>
                <c:pt idx="174">
                  <c:v>0.27475690352085047</c:v>
                </c:pt>
                <c:pt idx="175">
                  <c:v>0.9450187609233065</c:v>
                </c:pt>
                <c:pt idx="176">
                  <c:v>2.6308204263242678</c:v>
                </c:pt>
                <c:pt idx="177">
                  <c:v>0.33207078950297669</c:v>
                </c:pt>
                <c:pt idx="178">
                  <c:v>0.27569216528700796</c:v>
                </c:pt>
                <c:pt idx="179">
                  <c:v>0.16771114057867509</c:v>
                </c:pt>
                <c:pt idx="180">
                  <c:v>9.6980936246210292E-2</c:v>
                </c:pt>
                <c:pt idx="181">
                  <c:v>0.20707333919615881</c:v>
                </c:pt>
                <c:pt idx="182">
                  <c:v>4.7347152125720833E-2</c:v>
                </c:pt>
                <c:pt idx="183">
                  <c:v>0.29413099893057765</c:v>
                </c:pt>
                <c:pt idx="184">
                  <c:v>0.25790047160496737</c:v>
                </c:pt>
                <c:pt idx="185">
                  <c:v>0.23373668840106743</c:v>
                </c:pt>
                <c:pt idx="186">
                  <c:v>0.25816276778706776</c:v>
                </c:pt>
                <c:pt idx="187">
                  <c:v>2.8577997706528424</c:v>
                </c:pt>
                <c:pt idx="188">
                  <c:v>0.12632169130165519</c:v>
                </c:pt>
                <c:pt idx="189">
                  <c:v>4.6679936985388415E-2</c:v>
                </c:pt>
                <c:pt idx="190">
                  <c:v>0.14834335083902997</c:v>
                </c:pt>
                <c:pt idx="191">
                  <c:v>0.13698920196203621</c:v>
                </c:pt>
                <c:pt idx="192">
                  <c:v>0.11900782826804955</c:v>
                </c:pt>
                <c:pt idx="193">
                  <c:v>0.11462928620134974</c:v>
                </c:pt>
                <c:pt idx="194">
                  <c:v>0.14775681948433433</c:v>
                </c:pt>
                <c:pt idx="195">
                  <c:v>0.2226204703101777</c:v>
                </c:pt>
                <c:pt idx="196">
                  <c:v>0.12960675037393718</c:v>
                </c:pt>
                <c:pt idx="197">
                  <c:v>-4.8750344377059947E-2</c:v>
                </c:pt>
                <c:pt idx="198">
                  <c:v>0</c:v>
                </c:pt>
                <c:pt idx="199">
                  <c:v>1.0139740627494291</c:v>
                </c:pt>
                <c:pt idx="200">
                  <c:v>0.96368834628202338</c:v>
                </c:pt>
                <c:pt idx="201">
                  <c:v>0.57442811899594004</c:v>
                </c:pt>
                <c:pt idx="202">
                  <c:v>0.70278537567817601</c:v>
                </c:pt>
                <c:pt idx="203">
                  <c:v>0.3904093966560836</c:v>
                </c:pt>
                <c:pt idx="204">
                  <c:v>7.3342387295068034E-2</c:v>
                </c:pt>
                <c:pt idx="205">
                  <c:v>0.30066291214620905</c:v>
                </c:pt>
                <c:pt idx="206">
                  <c:v>0.93699965849133515</c:v>
                </c:pt>
                <c:pt idx="207">
                  <c:v>0.39477234996954863</c:v>
                </c:pt>
                <c:pt idx="208">
                  <c:v>1.178798967569092</c:v>
                </c:pt>
                <c:pt idx="209">
                  <c:v>5.3574311085856747</c:v>
                </c:pt>
                <c:pt idx="210">
                  <c:v>0.18217669858879654</c:v>
                </c:pt>
                <c:pt idx="211">
                  <c:v>0.15212817288730002</c:v>
                </c:pt>
                <c:pt idx="212">
                  <c:v>0.15525760091954044</c:v>
                </c:pt>
                <c:pt idx="213">
                  <c:v>8.3260820718009318E-2</c:v>
                </c:pt>
                <c:pt idx="214">
                  <c:v>0.14371812665228814</c:v>
                </c:pt>
                <c:pt idx="215">
                  <c:v>0.15766057563618854</c:v>
                </c:pt>
                <c:pt idx="216">
                  <c:v>6.9717509093289748E-2</c:v>
                </c:pt>
                <c:pt idx="217">
                  <c:v>9.3026876575154308E-2</c:v>
                </c:pt>
                <c:pt idx="218">
                  <c:v>2.2163794837909218E-2</c:v>
                </c:pt>
                <c:pt idx="219">
                  <c:v>0.10824182803796949</c:v>
                </c:pt>
                <c:pt idx="220">
                  <c:v>-0.16665829191978043</c:v>
                </c:pt>
                <c:pt idx="221">
                  <c:v>0.22890600465539848</c:v>
                </c:pt>
                <c:pt idx="222">
                  <c:v>0.18974272744146592</c:v>
                </c:pt>
                <c:pt idx="223">
                  <c:v>0.1076989410330602</c:v>
                </c:pt>
                <c:pt idx="224">
                  <c:v>0.12148410445117068</c:v>
                </c:pt>
                <c:pt idx="225">
                  <c:v>0.37874959829747362</c:v>
                </c:pt>
                <c:pt idx="226">
                  <c:v>0.27714517415816198</c:v>
                </c:pt>
                <c:pt idx="227">
                  <c:v>0.26302117706267336</c:v>
                </c:pt>
                <c:pt idx="228">
                  <c:v>0.2454849815606803</c:v>
                </c:pt>
                <c:pt idx="229">
                  <c:v>0.39008351945451236</c:v>
                </c:pt>
                <c:pt idx="230">
                  <c:v>1.6161561593972921E-2</c:v>
                </c:pt>
                <c:pt idx="231">
                  <c:v>2.8335439273500094</c:v>
                </c:pt>
                <c:pt idx="232">
                  <c:v>2.547285242687294E-2</c:v>
                </c:pt>
                <c:pt idx="233">
                  <c:v>8.2636165389298941E-4</c:v>
                </c:pt>
                <c:pt idx="234">
                  <c:v>1.5108822367673805E-3</c:v>
                </c:pt>
                <c:pt idx="235">
                  <c:v>1.2359035105493508E-3</c:v>
                </c:pt>
                <c:pt idx="236">
                  <c:v>1.0005425657243614E-2</c:v>
                </c:pt>
                <c:pt idx="237">
                  <c:v>1.1552206102839852E-3</c:v>
                </c:pt>
                <c:pt idx="238">
                  <c:v>4.5305739621455382E-4</c:v>
                </c:pt>
                <c:pt idx="239">
                  <c:v>5.991988050579667E-2</c:v>
                </c:pt>
                <c:pt idx="240">
                  <c:v>7.4394387149349732E-4</c:v>
                </c:pt>
                <c:pt idx="241">
                  <c:v>2.1196640586075462E-2</c:v>
                </c:pt>
                <c:pt idx="242">
                  <c:v>0</c:v>
                </c:pt>
                <c:pt idx="243">
                  <c:v>0.83178399736445296</c:v>
                </c:pt>
                <c:pt idx="244">
                  <c:v>0.34420507412316032</c:v>
                </c:pt>
                <c:pt idx="245">
                  <c:v>0.51945368119393598</c:v>
                </c:pt>
                <c:pt idx="246">
                  <c:v>0.82095376741183601</c:v>
                </c:pt>
                <c:pt idx="247">
                  <c:v>0.21869252711111872</c:v>
                </c:pt>
                <c:pt idx="248">
                  <c:v>0.75769214229151871</c:v>
                </c:pt>
                <c:pt idx="249">
                  <c:v>1.3866986024170703E-2</c:v>
                </c:pt>
                <c:pt idx="250">
                  <c:v>0.6192032230113107</c:v>
                </c:pt>
                <c:pt idx="251">
                  <c:v>0.88929472396707887</c:v>
                </c:pt>
                <c:pt idx="252">
                  <c:v>0.57686836692906007</c:v>
                </c:pt>
                <c:pt idx="253">
                  <c:v>2.3485722676461345</c:v>
                </c:pt>
                <c:pt idx="254">
                  <c:v>0.11798261079812138</c:v>
                </c:pt>
                <c:pt idx="255">
                  <c:v>0.11528511506309486</c:v>
                </c:pt>
                <c:pt idx="256">
                  <c:v>0.10440567287465641</c:v>
                </c:pt>
                <c:pt idx="257">
                  <c:v>9.1307534487596376E-2</c:v>
                </c:pt>
                <c:pt idx="258">
                  <c:v>0.11604353832830271</c:v>
                </c:pt>
                <c:pt idx="259">
                  <c:v>0.14072257036561822</c:v>
                </c:pt>
                <c:pt idx="260">
                  <c:v>0.13218655344299343</c:v>
                </c:pt>
                <c:pt idx="261">
                  <c:v>8.0746282423389854E-2</c:v>
                </c:pt>
                <c:pt idx="262">
                  <c:v>6.061650957715025E-2</c:v>
                </c:pt>
                <c:pt idx="263">
                  <c:v>0.21155642916630357</c:v>
                </c:pt>
                <c:pt idx="264">
                  <c:v>2.3070901883617601</c:v>
                </c:pt>
                <c:pt idx="265">
                  <c:v>4.9569463047061321E-2</c:v>
                </c:pt>
                <c:pt idx="266">
                  <c:v>4.31983274177003E-3</c:v>
                </c:pt>
                <c:pt idx="267">
                  <c:v>5.9669118910947953E-3</c:v>
                </c:pt>
                <c:pt idx="268">
                  <c:v>2.6994637701414116E-3</c:v>
                </c:pt>
                <c:pt idx="269">
                  <c:v>4.6908997188202031E-2</c:v>
                </c:pt>
                <c:pt idx="270">
                  <c:v>2.7113355732883591E-3</c:v>
                </c:pt>
                <c:pt idx="271">
                  <c:v>2.387980090373827E-3</c:v>
                </c:pt>
                <c:pt idx="272">
                  <c:v>4.4138444400880918E-2</c:v>
                </c:pt>
                <c:pt idx="273">
                  <c:v>2.0846574915509898E-3</c:v>
                </c:pt>
                <c:pt idx="274">
                  <c:v>5.7847565583369849E-2</c:v>
                </c:pt>
                <c:pt idx="275">
                  <c:v>0</c:v>
                </c:pt>
                <c:pt idx="276">
                  <c:v>0.58111082167729733</c:v>
                </c:pt>
                <c:pt idx="277">
                  <c:v>0.33115589884706587</c:v>
                </c:pt>
                <c:pt idx="278">
                  <c:v>0.36110016565033315</c:v>
                </c:pt>
                <c:pt idx="279">
                  <c:v>0.29433086711828238</c:v>
                </c:pt>
                <c:pt idx="280">
                  <c:v>0.88578426752709516</c:v>
                </c:pt>
                <c:pt idx="281">
                  <c:v>0.91560104254168162</c:v>
                </c:pt>
                <c:pt idx="282">
                  <c:v>0.72275739511529469</c:v>
                </c:pt>
                <c:pt idx="283">
                  <c:v>0.5553327659566375</c:v>
                </c:pt>
                <c:pt idx="284">
                  <c:v>0.91857412706941133</c:v>
                </c:pt>
                <c:pt idx="285">
                  <c:v>1.086974810162652</c:v>
                </c:pt>
                <c:pt idx="286">
                  <c:v>4.5983004807684917</c:v>
                </c:pt>
                <c:pt idx="287">
                  <c:v>1.3935321917753459E-2</c:v>
                </c:pt>
                <c:pt idx="288">
                  <c:v>2.4109018390048524E-2</c:v>
                </c:pt>
                <c:pt idx="289">
                  <c:v>3.3973724015260352E-2</c:v>
                </c:pt>
                <c:pt idx="290">
                  <c:v>3.2007750889632036E-2</c:v>
                </c:pt>
                <c:pt idx="291">
                  <c:v>6.4973593181155517E-2</c:v>
                </c:pt>
                <c:pt idx="292">
                  <c:v>1.9082008287807765E-2</c:v>
                </c:pt>
                <c:pt idx="293">
                  <c:v>1.3834907794260023E-2</c:v>
                </c:pt>
                <c:pt idx="294">
                  <c:v>5.0581203237028617E-2</c:v>
                </c:pt>
                <c:pt idx="295">
                  <c:v>-9.3392138308023734E-4</c:v>
                </c:pt>
                <c:pt idx="296">
                  <c:v>5.3047824512849555E-2</c:v>
                </c:pt>
                <c:pt idx="297">
                  <c:v>3.6835513257323145</c:v>
                </c:pt>
                <c:pt idx="298">
                  <c:v>0.21768686471113133</c:v>
                </c:pt>
                <c:pt idx="299">
                  <c:v>0.23497564963838102</c:v>
                </c:pt>
                <c:pt idx="300">
                  <c:v>0.13748884070151998</c:v>
                </c:pt>
                <c:pt idx="301">
                  <c:v>-6.1758506203723168E-2</c:v>
                </c:pt>
                <c:pt idx="302">
                  <c:v>0.25318876306123234</c:v>
                </c:pt>
                <c:pt idx="303">
                  <c:v>0.12081722822336527</c:v>
                </c:pt>
                <c:pt idx="304">
                  <c:v>0.18511327614078935</c:v>
                </c:pt>
                <c:pt idx="305">
                  <c:v>0.14731930069713872</c:v>
                </c:pt>
                <c:pt idx="306">
                  <c:v>0.30254880609943141</c:v>
                </c:pt>
                <c:pt idx="307">
                  <c:v>0.22334193109316453</c:v>
                </c:pt>
                <c:pt idx="308">
                  <c:v>0</c:v>
                </c:pt>
                <c:pt idx="309">
                  <c:v>0.68920780659365</c:v>
                </c:pt>
                <c:pt idx="310">
                  <c:v>0.52940143519592786</c:v>
                </c:pt>
                <c:pt idx="311">
                  <c:v>1.141285706285359</c:v>
                </c:pt>
                <c:pt idx="312">
                  <c:v>0.58151592543188069</c:v>
                </c:pt>
                <c:pt idx="313">
                  <c:v>0.49658572193687622</c:v>
                </c:pt>
                <c:pt idx="314">
                  <c:v>0.68400433128983273</c:v>
                </c:pt>
                <c:pt idx="315">
                  <c:v>1.3979838857640292</c:v>
                </c:pt>
                <c:pt idx="316">
                  <c:v>0.20913458878428634</c:v>
                </c:pt>
                <c:pt idx="317">
                  <c:v>0.78256191421002685</c:v>
                </c:pt>
                <c:pt idx="318">
                  <c:v>0.68482782477262294</c:v>
                </c:pt>
                <c:pt idx="319">
                  <c:v>0</c:v>
                </c:pt>
                <c:pt idx="320">
                  <c:v>1.356837428552375</c:v>
                </c:pt>
                <c:pt idx="321">
                  <c:v>1.2568300565399364</c:v>
                </c:pt>
                <c:pt idx="322">
                  <c:v>1.2929347150215504</c:v>
                </c:pt>
                <c:pt idx="323">
                  <c:v>0.68139822225416347</c:v>
                </c:pt>
                <c:pt idx="324">
                  <c:v>0.4398540808452675</c:v>
                </c:pt>
                <c:pt idx="325">
                  <c:v>0.85987660060987381</c:v>
                </c:pt>
                <c:pt idx="326">
                  <c:v>2.2979653038040189</c:v>
                </c:pt>
                <c:pt idx="327">
                  <c:v>1.0561047011366356</c:v>
                </c:pt>
                <c:pt idx="328">
                  <c:v>1.9240729638734433</c:v>
                </c:pt>
                <c:pt idx="329">
                  <c:v>1.1080654180036229</c:v>
                </c:pt>
                <c:pt idx="330">
                  <c:v>0</c:v>
                </c:pt>
                <c:pt idx="331">
                  <c:v>1.3338237392159438</c:v>
                </c:pt>
                <c:pt idx="332">
                  <c:v>0.64304091092018201</c:v>
                </c:pt>
                <c:pt idx="333">
                  <c:v>0.82244136421620428</c:v>
                </c:pt>
                <c:pt idx="334">
                  <c:v>0.494419051734657</c:v>
                </c:pt>
                <c:pt idx="335">
                  <c:v>0.93367150773667851</c:v>
                </c:pt>
                <c:pt idx="336">
                  <c:v>0.65479362842907296</c:v>
                </c:pt>
                <c:pt idx="337">
                  <c:v>0.94711428655935759</c:v>
                </c:pt>
                <c:pt idx="338">
                  <c:v>1.1007140339573833</c:v>
                </c:pt>
                <c:pt idx="339">
                  <c:v>1.1690733774429571</c:v>
                </c:pt>
                <c:pt idx="340">
                  <c:v>0.97426209116345563</c:v>
                </c:pt>
                <c:pt idx="341">
                  <c:v>0</c:v>
                </c:pt>
                <c:pt idx="342">
                  <c:v>0.81009424153730925</c:v>
                </c:pt>
                <c:pt idx="343">
                  <c:v>0.56272274886261131</c:v>
                </c:pt>
                <c:pt idx="344">
                  <c:v>0.6546939299083866</c:v>
                </c:pt>
                <c:pt idx="345">
                  <c:v>0.3650037941592939</c:v>
                </c:pt>
                <c:pt idx="346">
                  <c:v>0.56692202983357753</c:v>
                </c:pt>
                <c:pt idx="347">
                  <c:v>0.4492209313816713</c:v>
                </c:pt>
                <c:pt idx="348">
                  <c:v>1.0753716366889079</c:v>
                </c:pt>
                <c:pt idx="349">
                  <c:v>0.42143460204360667</c:v>
                </c:pt>
                <c:pt idx="350">
                  <c:v>0.60201230567478869</c:v>
                </c:pt>
                <c:pt idx="351">
                  <c:v>0.68583364144089853</c:v>
                </c:pt>
                <c:pt idx="352">
                  <c:v>0</c:v>
                </c:pt>
                <c:pt idx="353">
                  <c:v>1.4906813390977653</c:v>
                </c:pt>
                <c:pt idx="354">
                  <c:v>1.2292394745413073</c:v>
                </c:pt>
                <c:pt idx="355">
                  <c:v>1.3663817849635114</c:v>
                </c:pt>
                <c:pt idx="356">
                  <c:v>1.275090914039676</c:v>
                </c:pt>
                <c:pt idx="357">
                  <c:v>1.2078077321717624</c:v>
                </c:pt>
                <c:pt idx="358">
                  <c:v>0.68602878108198129</c:v>
                </c:pt>
                <c:pt idx="359">
                  <c:v>1.5757642326631114</c:v>
                </c:pt>
                <c:pt idx="360">
                  <c:v>1.6730406351744918</c:v>
                </c:pt>
                <c:pt idx="361">
                  <c:v>1.5287514170740926</c:v>
                </c:pt>
                <c:pt idx="362">
                  <c:v>1.6320066328644105</c:v>
                </c:pt>
                <c:pt idx="363">
                  <c:v>0</c:v>
                </c:pt>
                <c:pt idx="364">
                  <c:v>0.54530174992111069</c:v>
                </c:pt>
                <c:pt idx="365">
                  <c:v>1.0092508069150827</c:v>
                </c:pt>
                <c:pt idx="366">
                  <c:v>1.1280210011230025</c:v>
                </c:pt>
                <c:pt idx="367">
                  <c:v>0.19405333970576641</c:v>
                </c:pt>
                <c:pt idx="368">
                  <c:v>0.81798096457827429</c:v>
                </c:pt>
                <c:pt idx="369">
                  <c:v>0.51351056353990476</c:v>
                </c:pt>
                <c:pt idx="370">
                  <c:v>0.49629461323417262</c:v>
                </c:pt>
                <c:pt idx="371">
                  <c:v>0.93027854904327723</c:v>
                </c:pt>
                <c:pt idx="372">
                  <c:v>1.0508459120241196</c:v>
                </c:pt>
                <c:pt idx="373">
                  <c:v>0.31526580343989907</c:v>
                </c:pt>
                <c:pt idx="374">
                  <c:v>0</c:v>
                </c:pt>
                <c:pt idx="375">
                  <c:v>0.26113397489793222</c:v>
                </c:pt>
                <c:pt idx="376">
                  <c:v>1.1960789053542429</c:v>
                </c:pt>
                <c:pt idx="377">
                  <c:v>0.764081020208905</c:v>
                </c:pt>
                <c:pt idx="378">
                  <c:v>1.0181308820884865</c:v>
                </c:pt>
                <c:pt idx="379">
                  <c:v>0.40058727238144842</c:v>
                </c:pt>
                <c:pt idx="380">
                  <c:v>1.0155808733099272</c:v>
                </c:pt>
                <c:pt idx="381">
                  <c:v>1.2386532719375298</c:v>
                </c:pt>
                <c:pt idx="382">
                  <c:v>0.85195184691860204</c:v>
                </c:pt>
                <c:pt idx="383">
                  <c:v>0.85844605863026102</c:v>
                </c:pt>
                <c:pt idx="384">
                  <c:v>1.1714510509717189</c:v>
                </c:pt>
                <c:pt idx="385">
                  <c:v>3.223727368477642</c:v>
                </c:pt>
                <c:pt idx="386">
                  <c:v>3.1169833942345199E-2</c:v>
                </c:pt>
                <c:pt idx="387">
                  <c:v>6.7855857849039936E-3</c:v>
                </c:pt>
                <c:pt idx="388">
                  <c:v>1.0965145337360422E-2</c:v>
                </c:pt>
                <c:pt idx="389">
                  <c:v>5.2003736393946322E-3</c:v>
                </c:pt>
                <c:pt idx="390">
                  <c:v>1.5118638304387566E-2</c:v>
                </c:pt>
                <c:pt idx="391">
                  <c:v>1.1429274250761449E-2</c:v>
                </c:pt>
                <c:pt idx="392">
                  <c:v>4.4267503294157838E-3</c:v>
                </c:pt>
                <c:pt idx="393">
                  <c:v>5.2770108331073026E-2</c:v>
                </c:pt>
                <c:pt idx="394">
                  <c:v>3.5649509197121527E-3</c:v>
                </c:pt>
                <c:pt idx="395">
                  <c:v>2.1942687627940168E-2</c:v>
                </c:pt>
                <c:pt idx="396">
                  <c:v>0</c:v>
                </c:pt>
                <c:pt idx="397">
                  <c:v>0.24346829525008626</c:v>
                </c:pt>
                <c:pt idx="398">
                  <c:v>0.72388118012735481</c:v>
                </c:pt>
                <c:pt idx="399">
                  <c:v>0.87655300969084426</c:v>
                </c:pt>
                <c:pt idx="400">
                  <c:v>1.1912668338346979</c:v>
                </c:pt>
                <c:pt idx="401">
                  <c:v>0.30970123188420912</c:v>
                </c:pt>
                <c:pt idx="402">
                  <c:v>0.74399310191492074</c:v>
                </c:pt>
                <c:pt idx="403">
                  <c:v>0.47940362858638508</c:v>
                </c:pt>
                <c:pt idx="404">
                  <c:v>1.6124803908118153</c:v>
                </c:pt>
                <c:pt idx="405">
                  <c:v>1.0323608264742468</c:v>
                </c:pt>
                <c:pt idx="406">
                  <c:v>0.64075641776410663</c:v>
                </c:pt>
                <c:pt idx="407">
                  <c:v>4.8204640024011773</c:v>
                </c:pt>
                <c:pt idx="408">
                  <c:v>7.2030713309515576E-2</c:v>
                </c:pt>
                <c:pt idx="409">
                  <c:v>0.14759316202682982</c:v>
                </c:pt>
                <c:pt idx="410">
                  <c:v>5.4802819908323169E-2</c:v>
                </c:pt>
                <c:pt idx="411">
                  <c:v>0.11599701119537562</c:v>
                </c:pt>
                <c:pt idx="412">
                  <c:v>0.10665953326028005</c:v>
                </c:pt>
                <c:pt idx="413">
                  <c:v>0.18060830566020988</c:v>
                </c:pt>
                <c:pt idx="414">
                  <c:v>4.722351708938323E-2</c:v>
                </c:pt>
                <c:pt idx="415">
                  <c:v>9.0425385171503295E-2</c:v>
                </c:pt>
                <c:pt idx="416">
                  <c:v>0.11511382347787501</c:v>
                </c:pt>
                <c:pt idx="417">
                  <c:v>0.14684003518929256</c:v>
                </c:pt>
                <c:pt idx="418">
                  <c:v>3.2228218776742996</c:v>
                </c:pt>
                <c:pt idx="419">
                  <c:v>4.373869449168636E-2</c:v>
                </c:pt>
                <c:pt idx="420">
                  <c:v>-2.4275933419255062E-3</c:v>
                </c:pt>
                <c:pt idx="421">
                  <c:v>7.7695116698024633E-3</c:v>
                </c:pt>
                <c:pt idx="422">
                  <c:v>7.1184984103071372E-3</c:v>
                </c:pt>
                <c:pt idx="423">
                  <c:v>6.0845925791552333E-2</c:v>
                </c:pt>
                <c:pt idx="424">
                  <c:v>1.8280859406168866E-2</c:v>
                </c:pt>
                <c:pt idx="425">
                  <c:v>5.0926631499799164E-3</c:v>
                </c:pt>
                <c:pt idx="426">
                  <c:v>0.10281247994596669</c:v>
                </c:pt>
                <c:pt idx="427">
                  <c:v>1.213703524176508E-3</c:v>
                </c:pt>
                <c:pt idx="428">
                  <c:v>7.7146235798044652E-2</c:v>
                </c:pt>
                <c:pt idx="429">
                  <c:v>0</c:v>
                </c:pt>
                <c:pt idx="430">
                  <c:v>0.7931989552217813</c:v>
                </c:pt>
                <c:pt idx="431">
                  <c:v>1.0526111055691221</c:v>
                </c:pt>
                <c:pt idx="432">
                  <c:v>0.98026942213159374</c:v>
                </c:pt>
                <c:pt idx="433">
                  <c:v>0.39703028935183898</c:v>
                </c:pt>
                <c:pt idx="434">
                  <c:v>0.98255969960844858</c:v>
                </c:pt>
                <c:pt idx="435">
                  <c:v>0.52056664928499763</c:v>
                </c:pt>
                <c:pt idx="436">
                  <c:v>0.66541400401775397</c:v>
                </c:pt>
                <c:pt idx="437">
                  <c:v>0.71625031617619628</c:v>
                </c:pt>
                <c:pt idx="438">
                  <c:v>0.67553612617151282</c:v>
                </c:pt>
                <c:pt idx="439">
                  <c:v>-8.5906333384729153E-2</c:v>
                </c:pt>
                <c:pt idx="440">
                  <c:v>4.1980180727816965</c:v>
                </c:pt>
                <c:pt idx="441">
                  <c:v>4.8608174452463994E-2</c:v>
                </c:pt>
                <c:pt idx="442">
                  <c:v>5.1303899512368176E-2</c:v>
                </c:pt>
                <c:pt idx="443">
                  <c:v>3.2683493911924724E-2</c:v>
                </c:pt>
                <c:pt idx="444">
                  <c:v>4.0271134208450569E-2</c:v>
                </c:pt>
                <c:pt idx="445">
                  <c:v>0.13170172085904017</c:v>
                </c:pt>
                <c:pt idx="446">
                  <c:v>2.61299848143524E-2</c:v>
                </c:pt>
                <c:pt idx="447">
                  <c:v>2.4553041873216171E-2</c:v>
                </c:pt>
                <c:pt idx="448">
                  <c:v>7.1638574825511156E-2</c:v>
                </c:pt>
                <c:pt idx="449">
                  <c:v>7.3689106232758244E-3</c:v>
                </c:pt>
                <c:pt idx="450">
                  <c:v>6.9177509260928069E-2</c:v>
                </c:pt>
                <c:pt idx="451">
                  <c:v>3.5673501418754223</c:v>
                </c:pt>
                <c:pt idx="452">
                  <c:v>0.32917885341462944</c:v>
                </c:pt>
                <c:pt idx="453">
                  <c:v>5.4465519473479912E-2</c:v>
                </c:pt>
                <c:pt idx="454">
                  <c:v>8.8169744623961016E-2</c:v>
                </c:pt>
                <c:pt idx="455">
                  <c:v>0.22424234015487701</c:v>
                </c:pt>
                <c:pt idx="456">
                  <c:v>0.24337666151757087</c:v>
                </c:pt>
                <c:pt idx="457">
                  <c:v>7.5209442192331069E-2</c:v>
                </c:pt>
                <c:pt idx="458">
                  <c:v>0.15766083425427183</c:v>
                </c:pt>
                <c:pt idx="459">
                  <c:v>0.29456194506182681</c:v>
                </c:pt>
                <c:pt idx="460">
                  <c:v>4.0451976084690942E-2</c:v>
                </c:pt>
                <c:pt idx="461">
                  <c:v>0.36050217295490783</c:v>
                </c:pt>
                <c:pt idx="462">
                  <c:v>2.8147666092785615</c:v>
                </c:pt>
                <c:pt idx="463">
                  <c:v>7.6024089340771234E-2</c:v>
                </c:pt>
                <c:pt idx="464">
                  <c:v>6.0248736794223837E-2</c:v>
                </c:pt>
                <c:pt idx="465">
                  <c:v>3.4359428293011897E-2</c:v>
                </c:pt>
                <c:pt idx="466">
                  <c:v>3.2332368341580243E-2</c:v>
                </c:pt>
                <c:pt idx="467">
                  <c:v>7.6460202133780478E-2</c:v>
                </c:pt>
                <c:pt idx="468">
                  <c:v>2.1027298442049074E-2</c:v>
                </c:pt>
                <c:pt idx="469">
                  <c:v>3.5126201540741274E-2</c:v>
                </c:pt>
                <c:pt idx="470">
                  <c:v>6.3845667216932994E-2</c:v>
                </c:pt>
                <c:pt idx="471">
                  <c:v>3.9029877094604155E-2</c:v>
                </c:pt>
                <c:pt idx="472">
                  <c:v>4.7934530202887099E-2</c:v>
                </c:pt>
                <c:pt idx="473">
                  <c:v>0</c:v>
                </c:pt>
                <c:pt idx="474">
                  <c:v>0.13405083773631205</c:v>
                </c:pt>
                <c:pt idx="475">
                  <c:v>0.17656714524983422</c:v>
                </c:pt>
                <c:pt idx="476">
                  <c:v>0.93928931605442245</c:v>
                </c:pt>
                <c:pt idx="477">
                  <c:v>0.3985344950514001</c:v>
                </c:pt>
                <c:pt idx="478">
                  <c:v>0.470563144186391</c:v>
                </c:pt>
                <c:pt idx="479">
                  <c:v>0.63005418679154679</c:v>
                </c:pt>
                <c:pt idx="480">
                  <c:v>0.16963385934431502</c:v>
                </c:pt>
                <c:pt idx="481">
                  <c:v>0.31269016141553707</c:v>
                </c:pt>
                <c:pt idx="482">
                  <c:v>0.50862654375083738</c:v>
                </c:pt>
                <c:pt idx="483">
                  <c:v>0.12676733295775452</c:v>
                </c:pt>
                <c:pt idx="484">
                  <c:v>2.1941088820359176</c:v>
                </c:pt>
                <c:pt idx="485">
                  <c:v>4.4192860406903371E-3</c:v>
                </c:pt>
                <c:pt idx="486">
                  <c:v>0.15812815792892806</c:v>
                </c:pt>
                <c:pt idx="487">
                  <c:v>0.22406351466099222</c:v>
                </c:pt>
                <c:pt idx="488">
                  <c:v>0.17558705588276699</c:v>
                </c:pt>
                <c:pt idx="489">
                  <c:v>0.15179978884643708</c:v>
                </c:pt>
                <c:pt idx="490">
                  <c:v>0.11308708532804682</c:v>
                </c:pt>
                <c:pt idx="491">
                  <c:v>0.10928130197024404</c:v>
                </c:pt>
                <c:pt idx="492">
                  <c:v>0.14259634201798696</c:v>
                </c:pt>
                <c:pt idx="493">
                  <c:v>0.19694871071018227</c:v>
                </c:pt>
                <c:pt idx="494">
                  <c:v>9.2489087714792834E-2</c:v>
                </c:pt>
                <c:pt idx="495">
                  <c:v>5.9286590826523593</c:v>
                </c:pt>
                <c:pt idx="496">
                  <c:v>8.8015359932828927E-2</c:v>
                </c:pt>
                <c:pt idx="497">
                  <c:v>6.1672412884524228E-2</c:v>
                </c:pt>
                <c:pt idx="498">
                  <c:v>4.1136874701046926E-2</c:v>
                </c:pt>
                <c:pt idx="499">
                  <c:v>7.231085309361325E-2</c:v>
                </c:pt>
                <c:pt idx="500">
                  <c:v>9.0371926467772534E-2</c:v>
                </c:pt>
                <c:pt idx="501">
                  <c:v>4.1496708673379561E-2</c:v>
                </c:pt>
                <c:pt idx="502">
                  <c:v>6.4645251994392694E-2</c:v>
                </c:pt>
                <c:pt idx="503">
                  <c:v>8.4777974831790004E-2</c:v>
                </c:pt>
                <c:pt idx="504">
                  <c:v>4.0201562344463856E-2</c:v>
                </c:pt>
                <c:pt idx="505">
                  <c:v>0.10745838351487418</c:v>
                </c:pt>
                <c:pt idx="506">
                  <c:v>0</c:v>
                </c:pt>
                <c:pt idx="507">
                  <c:v>0.88306602402022571</c:v>
                </c:pt>
                <c:pt idx="508">
                  <c:v>1.2213335228899067</c:v>
                </c:pt>
                <c:pt idx="509">
                  <c:v>0.30342149774318372</c:v>
                </c:pt>
                <c:pt idx="510">
                  <c:v>0.43464068795854732</c:v>
                </c:pt>
                <c:pt idx="511">
                  <c:v>0.6606458271647826</c:v>
                </c:pt>
                <c:pt idx="512">
                  <c:v>0.71534592299074673</c:v>
                </c:pt>
                <c:pt idx="513">
                  <c:v>1.0611903273187497</c:v>
                </c:pt>
                <c:pt idx="514">
                  <c:v>0.91193147834814825</c:v>
                </c:pt>
                <c:pt idx="515">
                  <c:v>0.50872329510897529</c:v>
                </c:pt>
                <c:pt idx="516">
                  <c:v>1.0618705852070334</c:v>
                </c:pt>
                <c:pt idx="517">
                  <c:v>2.679078591411971</c:v>
                </c:pt>
                <c:pt idx="518">
                  <c:v>0.14781687578143668</c:v>
                </c:pt>
                <c:pt idx="519">
                  <c:v>8.3748202175594685E-2</c:v>
                </c:pt>
                <c:pt idx="520">
                  <c:v>7.344959433979048E-2</c:v>
                </c:pt>
                <c:pt idx="521">
                  <c:v>5.2226807922570138E-2</c:v>
                </c:pt>
                <c:pt idx="522">
                  <c:v>0.11191108068623243</c:v>
                </c:pt>
                <c:pt idx="523">
                  <c:v>5.9028111885580999E-2</c:v>
                </c:pt>
                <c:pt idx="524">
                  <c:v>3.678954724642871E-2</c:v>
                </c:pt>
                <c:pt idx="525">
                  <c:v>0.10593187198675028</c:v>
                </c:pt>
                <c:pt idx="526">
                  <c:v>9.3908917686653617E-2</c:v>
                </c:pt>
                <c:pt idx="527">
                  <c:v>3.5913539362142297E-2</c:v>
                </c:pt>
                <c:pt idx="528">
                  <c:v>3.5016596358006504</c:v>
                </c:pt>
                <c:pt idx="529">
                  <c:v>0.17902334712177029</c:v>
                </c:pt>
                <c:pt idx="530">
                  <c:v>0.25703057114192096</c:v>
                </c:pt>
                <c:pt idx="531">
                  <c:v>0.10556972069318366</c:v>
                </c:pt>
                <c:pt idx="532">
                  <c:v>0.21832883273534257</c:v>
                </c:pt>
                <c:pt idx="533">
                  <c:v>0.26035437256624888</c:v>
                </c:pt>
                <c:pt idx="534">
                  <c:v>0.41430161297488471</c:v>
                </c:pt>
                <c:pt idx="535">
                  <c:v>0.24495797593405461</c:v>
                </c:pt>
                <c:pt idx="536">
                  <c:v>0.23134465050369651</c:v>
                </c:pt>
                <c:pt idx="537">
                  <c:v>0.17859076347653555</c:v>
                </c:pt>
                <c:pt idx="538">
                  <c:v>0.26736256584362889</c:v>
                </c:pt>
              </c:numCache>
            </c:numRef>
          </c:xVal>
          <c:yVal>
            <c:numRef>
              <c:f>simul_1a_1b_2a!$I$61:$I$599</c:f>
              <c:numCache>
                <c:formatCode>0.000</c:formatCode>
                <c:ptCount val="539"/>
                <c:pt idx="0">
                  <c:v>0.96555001271166596</c:v>
                </c:pt>
                <c:pt idx="1">
                  <c:v>8.557262120117759E-3</c:v>
                </c:pt>
                <c:pt idx="2">
                  <c:v>7.3226734992402288E-5</c:v>
                </c:pt>
                <c:pt idx="3">
                  <c:v>6.266203655303857E-7</c:v>
                </c:pt>
                <c:pt idx="4">
                  <c:v>5.3621547176475137E-9</c:v>
                </c:pt>
                <c:pt idx="5">
                  <c:v>8.557262120117759E-3</c:v>
                </c:pt>
                <c:pt idx="6">
                  <c:v>7.3226734992402288E-5</c:v>
                </c:pt>
                <c:pt idx="7">
                  <c:v>6.266203655303857E-7</c:v>
                </c:pt>
                <c:pt idx="8">
                  <c:v>8.557262120117759E-3</c:v>
                </c:pt>
                <c:pt idx="9">
                  <c:v>7.3226734992402288E-5</c:v>
                </c:pt>
                <c:pt idx="10">
                  <c:v>8.557262120117759E-3</c:v>
                </c:pt>
                <c:pt idx="11">
                  <c:v>0</c:v>
                </c:pt>
                <c:pt idx="12">
                  <c:v>0.15590195462147471</c:v>
                </c:pt>
                <c:pt idx="13">
                  <c:v>0.14741791923634937</c:v>
                </c:pt>
                <c:pt idx="14">
                  <c:v>0.1473453191217225</c:v>
                </c:pt>
                <c:pt idx="15">
                  <c:v>0.14734469786351168</c:v>
                </c:pt>
                <c:pt idx="16">
                  <c:v>0.15590195462147471</c:v>
                </c:pt>
                <c:pt idx="17">
                  <c:v>0.14741791923634937</c:v>
                </c:pt>
                <c:pt idx="18">
                  <c:v>0.1473453191217225</c:v>
                </c:pt>
                <c:pt idx="19">
                  <c:v>0.15590195462147471</c:v>
                </c:pt>
                <c:pt idx="20">
                  <c:v>0.14741791923634937</c:v>
                </c:pt>
                <c:pt idx="21">
                  <c:v>0.15590195462147471</c:v>
                </c:pt>
                <c:pt idx="22">
                  <c:v>0.74844542862847163</c:v>
                </c:pt>
                <c:pt idx="23">
                  <c:v>3.0267720528437195E-2</c:v>
                </c:pt>
                <c:pt idx="24">
                  <c:v>2.1783685143311839E-2</c:v>
                </c:pt>
                <c:pt idx="25">
                  <c:v>2.1711085028684966E-2</c:v>
                </c:pt>
                <c:pt idx="26">
                  <c:v>2.1710463770474153E-2</c:v>
                </c:pt>
                <c:pt idx="27">
                  <c:v>3.0267720528437195E-2</c:v>
                </c:pt>
                <c:pt idx="28">
                  <c:v>2.1783685143311839E-2</c:v>
                </c:pt>
                <c:pt idx="29">
                  <c:v>2.1711085028684966E-2</c:v>
                </c:pt>
                <c:pt idx="30">
                  <c:v>3.0267720528437195E-2</c:v>
                </c:pt>
                <c:pt idx="31">
                  <c:v>2.1783685143311839E-2</c:v>
                </c:pt>
                <c:pt idx="32">
                  <c:v>3.0267720528437195E-2</c:v>
                </c:pt>
                <c:pt idx="33">
                  <c:v>0.95706949050208778</c:v>
                </c:pt>
                <c:pt idx="34">
                  <c:v>9.4053143410755737E-3</c:v>
                </c:pt>
                <c:pt idx="35">
                  <c:v>9.2127895595021752E-4</c:v>
                </c:pt>
                <c:pt idx="36">
                  <c:v>8.4867884132334569E-4</c:v>
                </c:pt>
                <c:pt idx="37">
                  <c:v>8.4805758311253291E-4</c:v>
                </c:pt>
                <c:pt idx="38">
                  <c:v>9.4053143410755737E-3</c:v>
                </c:pt>
                <c:pt idx="39">
                  <c:v>9.2127895595021752E-4</c:v>
                </c:pt>
                <c:pt idx="40">
                  <c:v>8.4867884132334569E-4</c:v>
                </c:pt>
                <c:pt idx="41">
                  <c:v>9.4053143410755737E-3</c:v>
                </c:pt>
                <c:pt idx="42">
                  <c:v>9.2127895595021752E-4</c:v>
                </c:pt>
                <c:pt idx="43">
                  <c:v>9.4053143410755737E-3</c:v>
                </c:pt>
                <c:pt idx="44">
                  <c:v>0</c:v>
                </c:pt>
                <c:pt idx="45">
                  <c:v>0.15590195462147471</c:v>
                </c:pt>
                <c:pt idx="46">
                  <c:v>0.14741791923634937</c:v>
                </c:pt>
                <c:pt idx="47">
                  <c:v>0.1473453191217225</c:v>
                </c:pt>
                <c:pt idx="48">
                  <c:v>0.14734469786351168</c:v>
                </c:pt>
                <c:pt idx="49">
                  <c:v>0.15590195462147471</c:v>
                </c:pt>
                <c:pt idx="50">
                  <c:v>0.14741791923634937</c:v>
                </c:pt>
                <c:pt idx="51">
                  <c:v>0.1473453191217225</c:v>
                </c:pt>
                <c:pt idx="52">
                  <c:v>0.15590195462147471</c:v>
                </c:pt>
                <c:pt idx="53">
                  <c:v>0.14741791923634937</c:v>
                </c:pt>
                <c:pt idx="54">
                  <c:v>0.15590195462147471</c:v>
                </c:pt>
                <c:pt idx="55">
                  <c:v>0.90799434466817641</c:v>
                </c:pt>
                <c:pt idx="56">
                  <c:v>1.4312828924466718E-2</c:v>
                </c:pt>
                <c:pt idx="57">
                  <c:v>5.828793539341362E-3</c:v>
                </c:pt>
                <c:pt idx="58">
                  <c:v>5.7561934247144907E-3</c:v>
                </c:pt>
                <c:pt idx="59">
                  <c:v>5.7555721665036776E-3</c:v>
                </c:pt>
                <c:pt idx="60">
                  <c:v>1.4312828924466718E-2</c:v>
                </c:pt>
                <c:pt idx="61">
                  <c:v>5.828793539341362E-3</c:v>
                </c:pt>
                <c:pt idx="62">
                  <c:v>5.7561934247144907E-3</c:v>
                </c:pt>
                <c:pt idx="63">
                  <c:v>1.4312828924466718E-2</c:v>
                </c:pt>
                <c:pt idx="64">
                  <c:v>5.828793539341362E-3</c:v>
                </c:pt>
                <c:pt idx="65">
                  <c:v>1.4312828924466718E-2</c:v>
                </c:pt>
                <c:pt idx="66">
                  <c:v>0.57493079822615234</c:v>
                </c:pt>
                <c:pt idx="67">
                  <c:v>4.7619183568669121E-2</c:v>
                </c:pt>
                <c:pt idx="68">
                  <c:v>3.9135148183543765E-2</c:v>
                </c:pt>
                <c:pt idx="69">
                  <c:v>3.9062548068916896E-2</c:v>
                </c:pt>
                <c:pt idx="70">
                  <c:v>3.9061926810706082E-2</c:v>
                </c:pt>
                <c:pt idx="71">
                  <c:v>4.7619183568669121E-2</c:v>
                </c:pt>
                <c:pt idx="72">
                  <c:v>3.9135148183543765E-2</c:v>
                </c:pt>
                <c:pt idx="73">
                  <c:v>3.9062548068916896E-2</c:v>
                </c:pt>
                <c:pt idx="74">
                  <c:v>4.7619183568669121E-2</c:v>
                </c:pt>
                <c:pt idx="75">
                  <c:v>3.9135148183543765E-2</c:v>
                </c:pt>
                <c:pt idx="76">
                  <c:v>4.7619183568669121E-2</c:v>
                </c:pt>
                <c:pt idx="77">
                  <c:v>0</c:v>
                </c:pt>
                <c:pt idx="78">
                  <c:v>0.15989004515624028</c:v>
                </c:pt>
                <c:pt idx="79">
                  <c:v>0.15140600977111493</c:v>
                </c:pt>
                <c:pt idx="80">
                  <c:v>0.15133340965648806</c:v>
                </c:pt>
                <c:pt idx="81">
                  <c:v>0.15133278839827724</c:v>
                </c:pt>
                <c:pt idx="82">
                  <c:v>0.15989004515624028</c:v>
                </c:pt>
                <c:pt idx="83">
                  <c:v>0.15140600977111493</c:v>
                </c:pt>
                <c:pt idx="84">
                  <c:v>0.15133340965648806</c:v>
                </c:pt>
                <c:pt idx="85">
                  <c:v>0.15989004515624028</c:v>
                </c:pt>
                <c:pt idx="86">
                  <c:v>0.15140600977111493</c:v>
                </c:pt>
                <c:pt idx="87">
                  <c:v>0.15989004515624028</c:v>
                </c:pt>
                <c:pt idx="88">
                  <c:v>0</c:v>
                </c:pt>
                <c:pt idx="89">
                  <c:v>0.30723473765759723</c:v>
                </c:pt>
                <c:pt idx="90">
                  <c:v>0.29875070227247186</c:v>
                </c:pt>
                <c:pt idx="91">
                  <c:v>0.29867810215784502</c:v>
                </c:pt>
                <c:pt idx="92">
                  <c:v>0.2986774808996342</c:v>
                </c:pt>
                <c:pt idx="93">
                  <c:v>0.30723473765759723</c:v>
                </c:pt>
                <c:pt idx="94">
                  <c:v>0.29875070227247186</c:v>
                </c:pt>
                <c:pt idx="95">
                  <c:v>0.29867810215784502</c:v>
                </c:pt>
                <c:pt idx="96">
                  <c:v>0.30723473765759723</c:v>
                </c:pt>
                <c:pt idx="97">
                  <c:v>0.29875070227247186</c:v>
                </c:pt>
                <c:pt idx="98">
                  <c:v>0.30723473765759723</c:v>
                </c:pt>
                <c:pt idx="99">
                  <c:v>0</c:v>
                </c:pt>
                <c:pt idx="100">
                  <c:v>0.1816005035645597</c:v>
                </c:pt>
                <c:pt idx="101">
                  <c:v>0.17311646817943435</c:v>
                </c:pt>
                <c:pt idx="102">
                  <c:v>0.17304386806480748</c:v>
                </c:pt>
                <c:pt idx="103">
                  <c:v>0.17304324680659666</c:v>
                </c:pt>
                <c:pt idx="104">
                  <c:v>0.1816005035645597</c:v>
                </c:pt>
                <c:pt idx="105">
                  <c:v>0.17311646817943435</c:v>
                </c:pt>
                <c:pt idx="106">
                  <c:v>0.17304386806480748</c:v>
                </c:pt>
                <c:pt idx="107">
                  <c:v>0.1816005035645597</c:v>
                </c:pt>
                <c:pt idx="108">
                  <c:v>0.17311646817943435</c:v>
                </c:pt>
                <c:pt idx="109">
                  <c:v>0.1816005035645597</c:v>
                </c:pt>
                <c:pt idx="110">
                  <c:v>0</c:v>
                </c:pt>
                <c:pt idx="111">
                  <c:v>0.1607380973771981</c:v>
                </c:pt>
                <c:pt idx="112">
                  <c:v>0.15225406199207275</c:v>
                </c:pt>
                <c:pt idx="113">
                  <c:v>0.15218146187744588</c:v>
                </c:pt>
                <c:pt idx="114">
                  <c:v>0.15218084061923506</c:v>
                </c:pt>
                <c:pt idx="115">
                  <c:v>0.1607380973771981</c:v>
                </c:pt>
                <c:pt idx="116">
                  <c:v>0.15225406199207275</c:v>
                </c:pt>
                <c:pt idx="117">
                  <c:v>0.15218146187744588</c:v>
                </c:pt>
                <c:pt idx="118">
                  <c:v>0.1607380973771981</c:v>
                </c:pt>
                <c:pt idx="119">
                  <c:v>0.15225406199207275</c:v>
                </c:pt>
                <c:pt idx="120">
                  <c:v>0.1607380973771981</c:v>
                </c:pt>
                <c:pt idx="121">
                  <c:v>0</c:v>
                </c:pt>
                <c:pt idx="122">
                  <c:v>0.30723473765759723</c:v>
                </c:pt>
                <c:pt idx="123">
                  <c:v>0.29875070227247186</c:v>
                </c:pt>
                <c:pt idx="124">
                  <c:v>0.29867810215784502</c:v>
                </c:pt>
                <c:pt idx="125">
                  <c:v>0.2986774808996342</c:v>
                </c:pt>
                <c:pt idx="126">
                  <c:v>0.30723473765759723</c:v>
                </c:pt>
                <c:pt idx="127">
                  <c:v>0.29875070227247186</c:v>
                </c:pt>
                <c:pt idx="128">
                  <c:v>0.29867810215784502</c:v>
                </c:pt>
                <c:pt idx="129">
                  <c:v>0.30723473765759723</c:v>
                </c:pt>
                <c:pt idx="130">
                  <c:v>0.29875070227247186</c:v>
                </c:pt>
                <c:pt idx="131">
                  <c:v>0.30723473765759723</c:v>
                </c:pt>
                <c:pt idx="132">
                  <c:v>0</c:v>
                </c:pt>
                <c:pt idx="133">
                  <c:v>0.16564561196058925</c:v>
                </c:pt>
                <c:pt idx="134">
                  <c:v>0.1571615765754639</c:v>
                </c:pt>
                <c:pt idx="135">
                  <c:v>0.15708897646083703</c:v>
                </c:pt>
                <c:pt idx="136">
                  <c:v>0.15708835520262621</c:v>
                </c:pt>
                <c:pt idx="137">
                  <c:v>0.16564561196058925</c:v>
                </c:pt>
                <c:pt idx="138">
                  <c:v>0.1571615765754639</c:v>
                </c:pt>
                <c:pt idx="139">
                  <c:v>0.15708897646083703</c:v>
                </c:pt>
                <c:pt idx="140">
                  <c:v>0.16564561196058925</c:v>
                </c:pt>
                <c:pt idx="141">
                  <c:v>0.1571615765754639</c:v>
                </c:pt>
                <c:pt idx="142">
                  <c:v>0.16564561196058925</c:v>
                </c:pt>
                <c:pt idx="143">
                  <c:v>0</c:v>
                </c:pt>
                <c:pt idx="144">
                  <c:v>0.19895196660479164</c:v>
                </c:pt>
                <c:pt idx="145">
                  <c:v>0.19046793121966629</c:v>
                </c:pt>
                <c:pt idx="146">
                  <c:v>0.19039533110503942</c:v>
                </c:pt>
                <c:pt idx="147">
                  <c:v>0.1903947098468286</c:v>
                </c:pt>
                <c:pt idx="148">
                  <c:v>0.19895196660479164</c:v>
                </c:pt>
                <c:pt idx="149">
                  <c:v>0.19046793121966629</c:v>
                </c:pt>
                <c:pt idx="150">
                  <c:v>0.19039533110503942</c:v>
                </c:pt>
                <c:pt idx="151">
                  <c:v>0.19895196660479164</c:v>
                </c:pt>
                <c:pt idx="152">
                  <c:v>0.19046793121966629</c:v>
                </c:pt>
                <c:pt idx="153">
                  <c:v>0.19895196660479164</c:v>
                </c:pt>
                <c:pt idx="154">
                  <c:v>0.73653390049708467</c:v>
                </c:pt>
                <c:pt idx="155">
                  <c:v>3.1458873341575891E-2</c:v>
                </c:pt>
                <c:pt idx="156">
                  <c:v>2.2974837956450535E-2</c:v>
                </c:pt>
                <c:pt idx="157">
                  <c:v>2.2902237841823662E-2</c:v>
                </c:pt>
                <c:pt idx="158">
                  <c:v>2.2901616583612849E-2</c:v>
                </c:pt>
                <c:pt idx="159">
                  <c:v>3.1458873341575891E-2</c:v>
                </c:pt>
                <c:pt idx="160">
                  <c:v>2.2974837956450535E-2</c:v>
                </c:pt>
                <c:pt idx="161">
                  <c:v>2.2902237841823662E-2</c:v>
                </c:pt>
                <c:pt idx="162">
                  <c:v>3.1458873341575891E-2</c:v>
                </c:pt>
                <c:pt idx="163">
                  <c:v>2.2974837956450535E-2</c:v>
                </c:pt>
                <c:pt idx="164">
                  <c:v>3.1458873341575891E-2</c:v>
                </c:pt>
                <c:pt idx="165">
                  <c:v>0</c:v>
                </c:pt>
                <c:pt idx="166">
                  <c:v>0.17880356584293283</c:v>
                </c:pt>
                <c:pt idx="167">
                  <c:v>0.17031953045780748</c:v>
                </c:pt>
                <c:pt idx="168">
                  <c:v>0.17024693034318061</c:v>
                </c:pt>
                <c:pt idx="169">
                  <c:v>0.17024630908496979</c:v>
                </c:pt>
                <c:pt idx="170">
                  <c:v>0.17880356584293283</c:v>
                </c:pt>
                <c:pt idx="171">
                  <c:v>0.17031953045780748</c:v>
                </c:pt>
                <c:pt idx="172">
                  <c:v>0.17024693034318061</c:v>
                </c:pt>
                <c:pt idx="173">
                  <c:v>0.17880356584293283</c:v>
                </c:pt>
                <c:pt idx="174">
                  <c:v>0.17031953045780748</c:v>
                </c:pt>
                <c:pt idx="175">
                  <c:v>0.17880356584293283</c:v>
                </c:pt>
                <c:pt idx="176">
                  <c:v>0.51942931641389034</c:v>
                </c:pt>
                <c:pt idx="177">
                  <c:v>5.3169331749895327E-2</c:v>
                </c:pt>
                <c:pt idx="178">
                  <c:v>4.4685296364769971E-2</c:v>
                </c:pt>
                <c:pt idx="179">
                  <c:v>4.4612696250143101E-2</c:v>
                </c:pt>
                <c:pt idx="180">
                  <c:v>4.4612074991932288E-2</c:v>
                </c:pt>
                <c:pt idx="181">
                  <c:v>5.3169331749895327E-2</c:v>
                </c:pt>
                <c:pt idx="182">
                  <c:v>4.4685296364769971E-2</c:v>
                </c:pt>
                <c:pt idx="183">
                  <c:v>4.4612696250143101E-2</c:v>
                </c:pt>
                <c:pt idx="184">
                  <c:v>5.3169331749895327E-2</c:v>
                </c:pt>
                <c:pt idx="185">
                  <c:v>4.4685296364769971E-2</c:v>
                </c:pt>
                <c:pt idx="186">
                  <c:v>5.3169331749895327E-2</c:v>
                </c:pt>
                <c:pt idx="187">
                  <c:v>0.72805337828750649</c:v>
                </c:pt>
                <c:pt idx="188">
                  <c:v>3.2306925562533707E-2</c:v>
                </c:pt>
                <c:pt idx="189">
                  <c:v>2.3822890177408351E-2</c:v>
                </c:pt>
                <c:pt idx="190">
                  <c:v>2.3750290062781478E-2</c:v>
                </c:pt>
                <c:pt idx="191">
                  <c:v>2.3749668804570665E-2</c:v>
                </c:pt>
                <c:pt idx="192">
                  <c:v>3.2306925562533707E-2</c:v>
                </c:pt>
                <c:pt idx="193">
                  <c:v>2.3822890177408351E-2</c:v>
                </c:pt>
                <c:pt idx="194">
                  <c:v>2.3750290062781478E-2</c:v>
                </c:pt>
                <c:pt idx="195">
                  <c:v>3.2306925562533707E-2</c:v>
                </c:pt>
                <c:pt idx="196">
                  <c:v>2.3822890177408351E-2</c:v>
                </c:pt>
                <c:pt idx="197">
                  <c:v>3.2306925562533707E-2</c:v>
                </c:pt>
                <c:pt idx="198">
                  <c:v>0</c:v>
                </c:pt>
                <c:pt idx="199">
                  <c:v>0.17880356584293283</c:v>
                </c:pt>
                <c:pt idx="200">
                  <c:v>0.17031953045780748</c:v>
                </c:pt>
                <c:pt idx="201">
                  <c:v>0.17024693034318061</c:v>
                </c:pt>
                <c:pt idx="202">
                  <c:v>0.17024630908496979</c:v>
                </c:pt>
                <c:pt idx="203">
                  <c:v>0.17880356584293283</c:v>
                </c:pt>
                <c:pt idx="204">
                  <c:v>0.17031953045780748</c:v>
                </c:pt>
                <c:pt idx="205">
                  <c:v>0.17024693034318061</c:v>
                </c:pt>
                <c:pt idx="206">
                  <c:v>0.17880356584293283</c:v>
                </c:pt>
                <c:pt idx="207">
                  <c:v>0.17031953045780748</c:v>
                </c:pt>
                <c:pt idx="208">
                  <c:v>0.17880356584293283</c:v>
                </c:pt>
                <c:pt idx="209">
                  <c:v>0.67897823245359512</c:v>
                </c:pt>
                <c:pt idx="210">
                  <c:v>3.721444014592485E-2</c:v>
                </c:pt>
                <c:pt idx="211">
                  <c:v>2.8730404760799494E-2</c:v>
                </c:pt>
                <c:pt idx="212">
                  <c:v>2.8657804646172621E-2</c:v>
                </c:pt>
                <c:pt idx="213">
                  <c:v>2.8657183387961808E-2</c:v>
                </c:pt>
                <c:pt idx="214">
                  <c:v>3.721444014592485E-2</c:v>
                </c:pt>
                <c:pt idx="215">
                  <c:v>2.8730404760799494E-2</c:v>
                </c:pt>
                <c:pt idx="216">
                  <c:v>2.8657804646172621E-2</c:v>
                </c:pt>
                <c:pt idx="217">
                  <c:v>3.721444014592485E-2</c:v>
                </c:pt>
                <c:pt idx="218">
                  <c:v>2.8730404760799494E-2</c:v>
                </c:pt>
                <c:pt idx="219">
                  <c:v>3.721444014592485E-2</c:v>
                </c:pt>
                <c:pt idx="220">
                  <c:v>0.34591468601157105</c:v>
                </c:pt>
                <c:pt idx="221">
                  <c:v>7.0520794790127253E-2</c:v>
                </c:pt>
                <c:pt idx="222">
                  <c:v>6.2036759405001897E-2</c:v>
                </c:pt>
                <c:pt idx="223">
                  <c:v>6.1964159290375027E-2</c:v>
                </c:pt>
                <c:pt idx="224">
                  <c:v>6.1963538032164214E-2</c:v>
                </c:pt>
                <c:pt idx="225">
                  <c:v>7.0520794790127253E-2</c:v>
                </c:pt>
                <c:pt idx="226">
                  <c:v>6.2036759405001897E-2</c:v>
                </c:pt>
                <c:pt idx="227">
                  <c:v>6.1964159290375027E-2</c:v>
                </c:pt>
                <c:pt idx="228">
                  <c:v>7.0520794790127253E-2</c:v>
                </c:pt>
                <c:pt idx="229">
                  <c:v>6.2036759405001897E-2</c:v>
                </c:pt>
                <c:pt idx="230">
                  <c:v>7.0520794790127253E-2</c:v>
                </c:pt>
                <c:pt idx="231">
                  <c:v>0.9632136788962502</c:v>
                </c:pt>
                <c:pt idx="232">
                  <c:v>8.7908955016593338E-3</c:v>
                </c:pt>
                <c:pt idx="233">
                  <c:v>3.068601165339774E-4</c:v>
                </c:pt>
                <c:pt idx="234">
                  <c:v>2.3426000190710549E-4</c:v>
                </c:pt>
                <c:pt idx="235">
                  <c:v>2.3363874369629274E-4</c:v>
                </c:pt>
                <c:pt idx="236">
                  <c:v>8.7908955016593338E-3</c:v>
                </c:pt>
                <c:pt idx="237">
                  <c:v>3.068601165339774E-4</c:v>
                </c:pt>
                <c:pt idx="238">
                  <c:v>2.3426000190710549E-4</c:v>
                </c:pt>
                <c:pt idx="239">
                  <c:v>8.7908955016593338E-3</c:v>
                </c:pt>
                <c:pt idx="240">
                  <c:v>3.068601165339774E-4</c:v>
                </c:pt>
                <c:pt idx="241">
                  <c:v>8.7908955016593338E-3</c:v>
                </c:pt>
                <c:pt idx="242">
                  <c:v>0</c:v>
                </c:pt>
                <c:pt idx="243">
                  <c:v>0.1561355880030163</c:v>
                </c:pt>
                <c:pt idx="244">
                  <c:v>0.14765155261789095</c:v>
                </c:pt>
                <c:pt idx="245">
                  <c:v>0.14757895250326408</c:v>
                </c:pt>
                <c:pt idx="246">
                  <c:v>0.14757833124505326</c:v>
                </c:pt>
                <c:pt idx="247">
                  <c:v>0.1561355880030163</c:v>
                </c:pt>
                <c:pt idx="248">
                  <c:v>0.14765155261789095</c:v>
                </c:pt>
                <c:pt idx="249">
                  <c:v>0.14757895250326408</c:v>
                </c:pt>
                <c:pt idx="250">
                  <c:v>0.1561355880030163</c:v>
                </c:pt>
                <c:pt idx="251">
                  <c:v>0.14765155261789095</c:v>
                </c:pt>
                <c:pt idx="252">
                  <c:v>0.1561355880030163</c:v>
                </c:pt>
                <c:pt idx="253">
                  <c:v>0.74610909481305576</c:v>
                </c:pt>
                <c:pt idx="254">
                  <c:v>3.0501353909978771E-2</c:v>
                </c:pt>
                <c:pt idx="255">
                  <c:v>2.2017318524853415E-2</c:v>
                </c:pt>
                <c:pt idx="256">
                  <c:v>2.1944718410226542E-2</c:v>
                </c:pt>
                <c:pt idx="257">
                  <c:v>2.1944097152015729E-2</c:v>
                </c:pt>
                <c:pt idx="258">
                  <c:v>3.0501353909978771E-2</c:v>
                </c:pt>
                <c:pt idx="259">
                  <c:v>2.2017318524853415E-2</c:v>
                </c:pt>
                <c:pt idx="260">
                  <c:v>2.1944718410226542E-2</c:v>
                </c:pt>
                <c:pt idx="261">
                  <c:v>3.0501353909978771E-2</c:v>
                </c:pt>
                <c:pt idx="262">
                  <c:v>2.2017318524853415E-2</c:v>
                </c:pt>
                <c:pt idx="263">
                  <c:v>3.0501353909978771E-2</c:v>
                </c:pt>
                <c:pt idx="264">
                  <c:v>0.95473315668667214</c:v>
                </c:pt>
                <c:pt idx="265">
                  <c:v>9.6389477226171486E-3</c:v>
                </c:pt>
                <c:pt idx="266">
                  <c:v>1.1549123374917927E-3</c:v>
                </c:pt>
                <c:pt idx="267">
                  <c:v>1.0823122228649207E-3</c:v>
                </c:pt>
                <c:pt idx="268">
                  <c:v>1.0816909646541081E-3</c:v>
                </c:pt>
                <c:pt idx="269">
                  <c:v>9.6389477226171486E-3</c:v>
                </c:pt>
                <c:pt idx="270">
                  <c:v>1.1549123374917927E-3</c:v>
                </c:pt>
                <c:pt idx="271">
                  <c:v>1.0823122228649207E-3</c:v>
                </c:pt>
                <c:pt idx="272">
                  <c:v>9.6389477226171486E-3</c:v>
                </c:pt>
                <c:pt idx="273">
                  <c:v>1.1549123374917927E-3</c:v>
                </c:pt>
                <c:pt idx="274">
                  <c:v>9.6389477226171486E-3</c:v>
                </c:pt>
                <c:pt idx="275">
                  <c:v>0</c:v>
                </c:pt>
                <c:pt idx="276">
                  <c:v>0.1561355880030163</c:v>
                </c:pt>
                <c:pt idx="277">
                  <c:v>0.14765155261789095</c:v>
                </c:pt>
                <c:pt idx="278">
                  <c:v>0.14757895250326408</c:v>
                </c:pt>
                <c:pt idx="279">
                  <c:v>0.14757833124505326</c:v>
                </c:pt>
                <c:pt idx="280">
                  <c:v>0.1561355880030163</c:v>
                </c:pt>
                <c:pt idx="281">
                  <c:v>0.14765155261789095</c:v>
                </c:pt>
                <c:pt idx="282">
                  <c:v>0.14757895250326408</c:v>
                </c:pt>
                <c:pt idx="283">
                  <c:v>0.1561355880030163</c:v>
                </c:pt>
                <c:pt idx="284">
                  <c:v>0.14765155261789095</c:v>
                </c:pt>
                <c:pt idx="285">
                  <c:v>0.1561355880030163</c:v>
                </c:pt>
                <c:pt idx="286">
                  <c:v>0.90565801085276065</c:v>
                </c:pt>
                <c:pt idx="287">
                  <c:v>1.4546462306008295E-2</c:v>
                </c:pt>
                <c:pt idx="288">
                  <c:v>6.0624269208829368E-3</c:v>
                </c:pt>
                <c:pt idx="289">
                  <c:v>5.9898268062560656E-3</c:v>
                </c:pt>
                <c:pt idx="290">
                  <c:v>5.9892055480452525E-3</c:v>
                </c:pt>
                <c:pt idx="291">
                  <c:v>1.4546462306008295E-2</c:v>
                </c:pt>
                <c:pt idx="292">
                  <c:v>6.0624269208829368E-3</c:v>
                </c:pt>
                <c:pt idx="293">
                  <c:v>5.9898268062560656E-3</c:v>
                </c:pt>
                <c:pt idx="294">
                  <c:v>1.4546462306008295E-2</c:v>
                </c:pt>
                <c:pt idx="295">
                  <c:v>6.0624269208829368E-3</c:v>
                </c:pt>
                <c:pt idx="296">
                  <c:v>1.4546462306008295E-2</c:v>
                </c:pt>
                <c:pt idx="297">
                  <c:v>0.57259446441073658</c:v>
                </c:pt>
                <c:pt idx="298">
                  <c:v>4.7852816950210694E-2</c:v>
                </c:pt>
                <c:pt idx="299">
                  <c:v>3.9368781565085338E-2</c:v>
                </c:pt>
                <c:pt idx="300">
                  <c:v>3.9296181450458469E-2</c:v>
                </c:pt>
                <c:pt idx="301">
                  <c:v>3.9295560192247656E-2</c:v>
                </c:pt>
                <c:pt idx="302">
                  <c:v>4.7852816950210694E-2</c:v>
                </c:pt>
                <c:pt idx="303">
                  <c:v>3.9368781565085338E-2</c:v>
                </c:pt>
                <c:pt idx="304">
                  <c:v>3.9296181450458469E-2</c:v>
                </c:pt>
                <c:pt idx="305">
                  <c:v>4.7852816950210694E-2</c:v>
                </c:pt>
                <c:pt idx="306">
                  <c:v>3.9368781565085338E-2</c:v>
                </c:pt>
                <c:pt idx="307">
                  <c:v>4.7852816950210694E-2</c:v>
                </c:pt>
                <c:pt idx="308">
                  <c:v>0</c:v>
                </c:pt>
                <c:pt idx="309">
                  <c:v>0.15989004515624028</c:v>
                </c:pt>
                <c:pt idx="310">
                  <c:v>0.15140600977111493</c:v>
                </c:pt>
                <c:pt idx="311">
                  <c:v>0.15133340965648806</c:v>
                </c:pt>
                <c:pt idx="312">
                  <c:v>0.15133278839827724</c:v>
                </c:pt>
                <c:pt idx="313">
                  <c:v>0.15989004515624028</c:v>
                </c:pt>
                <c:pt idx="314">
                  <c:v>0.15140600977111493</c:v>
                </c:pt>
                <c:pt idx="315">
                  <c:v>0.15133340965648806</c:v>
                </c:pt>
                <c:pt idx="316">
                  <c:v>0.15989004515624028</c:v>
                </c:pt>
                <c:pt idx="317">
                  <c:v>0.15140600977111493</c:v>
                </c:pt>
                <c:pt idx="318">
                  <c:v>0.15989004515624028</c:v>
                </c:pt>
                <c:pt idx="319">
                  <c:v>0</c:v>
                </c:pt>
                <c:pt idx="320">
                  <c:v>0.30723473765759723</c:v>
                </c:pt>
                <c:pt idx="321">
                  <c:v>0.29875070227247186</c:v>
                </c:pt>
                <c:pt idx="322">
                  <c:v>0.29867810215784502</c:v>
                </c:pt>
                <c:pt idx="323">
                  <c:v>0.2986774808996342</c:v>
                </c:pt>
                <c:pt idx="324">
                  <c:v>0.30723473765759723</c:v>
                </c:pt>
                <c:pt idx="325">
                  <c:v>0.29875070227247186</c:v>
                </c:pt>
                <c:pt idx="326">
                  <c:v>0.29867810215784502</c:v>
                </c:pt>
                <c:pt idx="327">
                  <c:v>0.30723473765759723</c:v>
                </c:pt>
                <c:pt idx="328">
                  <c:v>0.29875070227247186</c:v>
                </c:pt>
                <c:pt idx="329">
                  <c:v>0.30723473765759723</c:v>
                </c:pt>
                <c:pt idx="330">
                  <c:v>0</c:v>
                </c:pt>
                <c:pt idx="331">
                  <c:v>0.1816005035645597</c:v>
                </c:pt>
                <c:pt idx="332">
                  <c:v>0.17311646817943435</c:v>
                </c:pt>
                <c:pt idx="333">
                  <c:v>0.17304386806480748</c:v>
                </c:pt>
                <c:pt idx="334">
                  <c:v>0.17304324680659666</c:v>
                </c:pt>
                <c:pt idx="335">
                  <c:v>0.1816005035645597</c:v>
                </c:pt>
                <c:pt idx="336">
                  <c:v>0.17311646817943435</c:v>
                </c:pt>
                <c:pt idx="337">
                  <c:v>0.17304386806480748</c:v>
                </c:pt>
                <c:pt idx="338">
                  <c:v>0.1816005035645597</c:v>
                </c:pt>
                <c:pt idx="339">
                  <c:v>0.17311646817943435</c:v>
                </c:pt>
                <c:pt idx="340">
                  <c:v>0.1816005035645597</c:v>
                </c:pt>
                <c:pt idx="341">
                  <c:v>0</c:v>
                </c:pt>
                <c:pt idx="342">
                  <c:v>0.1607380973771981</c:v>
                </c:pt>
                <c:pt idx="343">
                  <c:v>0.15225406199207275</c:v>
                </c:pt>
                <c:pt idx="344">
                  <c:v>0.15218146187744588</c:v>
                </c:pt>
                <c:pt idx="345">
                  <c:v>0.15218084061923506</c:v>
                </c:pt>
                <c:pt idx="346">
                  <c:v>0.1607380973771981</c:v>
                </c:pt>
                <c:pt idx="347">
                  <c:v>0.15225406199207275</c:v>
                </c:pt>
                <c:pt idx="348">
                  <c:v>0.15218146187744588</c:v>
                </c:pt>
                <c:pt idx="349">
                  <c:v>0.1607380973771981</c:v>
                </c:pt>
                <c:pt idx="350">
                  <c:v>0.15225406199207275</c:v>
                </c:pt>
                <c:pt idx="351">
                  <c:v>0.1607380973771981</c:v>
                </c:pt>
                <c:pt idx="352">
                  <c:v>0</c:v>
                </c:pt>
                <c:pt idx="353">
                  <c:v>0.30723473765759723</c:v>
                </c:pt>
                <c:pt idx="354">
                  <c:v>0.29875070227247186</c:v>
                </c:pt>
                <c:pt idx="355">
                  <c:v>0.29867810215784502</c:v>
                </c:pt>
                <c:pt idx="356">
                  <c:v>0.2986774808996342</c:v>
                </c:pt>
                <c:pt idx="357">
                  <c:v>0.30723473765759723</c:v>
                </c:pt>
                <c:pt idx="358">
                  <c:v>0.29875070227247186</c:v>
                </c:pt>
                <c:pt idx="359">
                  <c:v>0.29867810215784502</c:v>
                </c:pt>
                <c:pt idx="360">
                  <c:v>0.30723473765759723</c:v>
                </c:pt>
                <c:pt idx="361">
                  <c:v>0.29875070227247186</c:v>
                </c:pt>
                <c:pt idx="362">
                  <c:v>0.30723473765759723</c:v>
                </c:pt>
                <c:pt idx="363">
                  <c:v>0</c:v>
                </c:pt>
                <c:pt idx="364">
                  <c:v>0.16564561196058925</c:v>
                </c:pt>
                <c:pt idx="365">
                  <c:v>0.1571615765754639</c:v>
                </c:pt>
                <c:pt idx="366">
                  <c:v>0.15708897646083703</c:v>
                </c:pt>
                <c:pt idx="367">
                  <c:v>0.15708835520262621</c:v>
                </c:pt>
                <c:pt idx="368">
                  <c:v>0.16564561196058925</c:v>
                </c:pt>
                <c:pt idx="369">
                  <c:v>0.1571615765754639</c:v>
                </c:pt>
                <c:pt idx="370">
                  <c:v>0.15708897646083703</c:v>
                </c:pt>
                <c:pt idx="371">
                  <c:v>0.16564561196058925</c:v>
                </c:pt>
                <c:pt idx="372">
                  <c:v>0.1571615765754639</c:v>
                </c:pt>
                <c:pt idx="373">
                  <c:v>0.16564561196058925</c:v>
                </c:pt>
                <c:pt idx="374">
                  <c:v>0</c:v>
                </c:pt>
                <c:pt idx="375">
                  <c:v>0.19895196660479164</c:v>
                </c:pt>
                <c:pt idx="376">
                  <c:v>0.19046793121966629</c:v>
                </c:pt>
                <c:pt idx="377">
                  <c:v>0.19039533110503942</c:v>
                </c:pt>
                <c:pt idx="378">
                  <c:v>0.1903947098468286</c:v>
                </c:pt>
                <c:pt idx="379">
                  <c:v>0.19895196660479164</c:v>
                </c:pt>
                <c:pt idx="380">
                  <c:v>0.19046793121966629</c:v>
                </c:pt>
                <c:pt idx="381">
                  <c:v>0.19039533110503942</c:v>
                </c:pt>
                <c:pt idx="382">
                  <c:v>0.19895196660479164</c:v>
                </c:pt>
                <c:pt idx="383">
                  <c:v>0.19046793121966629</c:v>
                </c:pt>
                <c:pt idx="384">
                  <c:v>0.19895196660479164</c:v>
                </c:pt>
                <c:pt idx="385">
                  <c:v>0.95011162739592059</c:v>
                </c:pt>
                <c:pt idx="386">
                  <c:v>1.0101100651692294E-2</c:v>
                </c:pt>
                <c:pt idx="387">
                  <c:v>1.6170652665669371E-3</c:v>
                </c:pt>
                <c:pt idx="388">
                  <c:v>1.5444651519400652E-3</c:v>
                </c:pt>
                <c:pt idx="389">
                  <c:v>1.5438438937292525E-3</c:v>
                </c:pt>
                <c:pt idx="390">
                  <c:v>1.0101100651692294E-2</c:v>
                </c:pt>
                <c:pt idx="391">
                  <c:v>1.6170652665669371E-3</c:v>
                </c:pt>
                <c:pt idx="392">
                  <c:v>1.5444651519400652E-3</c:v>
                </c:pt>
                <c:pt idx="393">
                  <c:v>1.0101100651692294E-2</c:v>
                </c:pt>
                <c:pt idx="394">
                  <c:v>1.6170652665669371E-3</c:v>
                </c:pt>
                <c:pt idx="395">
                  <c:v>1.0101100651692294E-2</c:v>
                </c:pt>
                <c:pt idx="396">
                  <c:v>0</c:v>
                </c:pt>
                <c:pt idx="397">
                  <c:v>0.15744579315304924</c:v>
                </c:pt>
                <c:pt idx="398">
                  <c:v>0.14896175776792389</c:v>
                </c:pt>
                <c:pt idx="399">
                  <c:v>0.14888915765329702</c:v>
                </c:pt>
                <c:pt idx="400">
                  <c:v>0.1488885363950862</c:v>
                </c:pt>
                <c:pt idx="401">
                  <c:v>0.15744579315304924</c:v>
                </c:pt>
                <c:pt idx="402">
                  <c:v>0.14896175776792389</c:v>
                </c:pt>
                <c:pt idx="403">
                  <c:v>0.14888915765329702</c:v>
                </c:pt>
                <c:pt idx="404">
                  <c:v>0.15744579315304924</c:v>
                </c:pt>
                <c:pt idx="405">
                  <c:v>0.14896175776792389</c:v>
                </c:pt>
                <c:pt idx="406">
                  <c:v>0.15744579315304924</c:v>
                </c:pt>
                <c:pt idx="407">
                  <c:v>0.73300704331272626</c:v>
                </c:pt>
                <c:pt idx="408">
                  <c:v>3.1811559060011728E-2</c:v>
                </c:pt>
                <c:pt idx="409">
                  <c:v>2.3327523674886372E-2</c:v>
                </c:pt>
                <c:pt idx="410">
                  <c:v>2.3254923560259499E-2</c:v>
                </c:pt>
                <c:pt idx="411">
                  <c:v>2.3254302302048686E-2</c:v>
                </c:pt>
                <c:pt idx="412">
                  <c:v>3.1811559060011728E-2</c:v>
                </c:pt>
                <c:pt idx="413">
                  <c:v>2.3327523674886372E-2</c:v>
                </c:pt>
                <c:pt idx="414">
                  <c:v>2.3254923560259499E-2</c:v>
                </c:pt>
                <c:pt idx="415">
                  <c:v>3.1811559060011728E-2</c:v>
                </c:pt>
                <c:pt idx="416">
                  <c:v>2.3327523674886372E-2</c:v>
                </c:pt>
                <c:pt idx="417">
                  <c:v>3.1811559060011728E-2</c:v>
                </c:pt>
                <c:pt idx="418">
                  <c:v>0.94163110518634252</c:v>
                </c:pt>
                <c:pt idx="419">
                  <c:v>1.0949152872650109E-2</c:v>
                </c:pt>
                <c:pt idx="420">
                  <c:v>2.4651174875247525E-3</c:v>
                </c:pt>
                <c:pt idx="421">
                  <c:v>2.3925173728978804E-3</c:v>
                </c:pt>
                <c:pt idx="422">
                  <c:v>2.3918961146870677E-3</c:v>
                </c:pt>
                <c:pt idx="423">
                  <c:v>1.0949152872650109E-2</c:v>
                </c:pt>
                <c:pt idx="424">
                  <c:v>2.4651174875247525E-3</c:v>
                </c:pt>
                <c:pt idx="425">
                  <c:v>2.3925173728978804E-3</c:v>
                </c:pt>
                <c:pt idx="426">
                  <c:v>1.0949152872650109E-2</c:v>
                </c:pt>
                <c:pt idx="427">
                  <c:v>2.4651174875247525E-3</c:v>
                </c:pt>
                <c:pt idx="428">
                  <c:v>1.0949152872650109E-2</c:v>
                </c:pt>
                <c:pt idx="429">
                  <c:v>0</c:v>
                </c:pt>
                <c:pt idx="430">
                  <c:v>0.15744579315304924</c:v>
                </c:pt>
                <c:pt idx="431">
                  <c:v>0.14896175776792389</c:v>
                </c:pt>
                <c:pt idx="432">
                  <c:v>0.14888915765329702</c:v>
                </c:pt>
                <c:pt idx="433">
                  <c:v>0.1488885363950862</c:v>
                </c:pt>
                <c:pt idx="434">
                  <c:v>0.15744579315304924</c:v>
                </c:pt>
                <c:pt idx="435">
                  <c:v>0.14896175776792389</c:v>
                </c:pt>
                <c:pt idx="436">
                  <c:v>0.14888915765329702</c:v>
                </c:pt>
                <c:pt idx="437">
                  <c:v>0.15744579315304924</c:v>
                </c:pt>
                <c:pt idx="438">
                  <c:v>0.14896175776792389</c:v>
                </c:pt>
                <c:pt idx="439">
                  <c:v>0.15744579315304924</c:v>
                </c:pt>
                <c:pt idx="440">
                  <c:v>0.89255595935243104</c:v>
                </c:pt>
                <c:pt idx="441">
                  <c:v>1.5856667456041255E-2</c:v>
                </c:pt>
                <c:pt idx="442">
                  <c:v>7.3726320709158969E-3</c:v>
                </c:pt>
                <c:pt idx="443">
                  <c:v>7.3000319562890256E-3</c:v>
                </c:pt>
                <c:pt idx="444">
                  <c:v>7.2994106980782125E-3</c:v>
                </c:pt>
                <c:pt idx="445">
                  <c:v>1.5856667456041255E-2</c:v>
                </c:pt>
                <c:pt idx="446">
                  <c:v>7.3726320709158969E-3</c:v>
                </c:pt>
                <c:pt idx="447">
                  <c:v>7.3000319562890256E-3</c:v>
                </c:pt>
                <c:pt idx="448">
                  <c:v>1.5856667456041255E-2</c:v>
                </c:pt>
                <c:pt idx="449">
                  <c:v>7.3726320709158969E-3</c:v>
                </c:pt>
                <c:pt idx="450">
                  <c:v>1.5856667456041255E-2</c:v>
                </c:pt>
                <c:pt idx="451">
                  <c:v>0.55949241291040708</c:v>
                </c:pt>
                <c:pt idx="452">
                  <c:v>4.9163022100243654E-2</c:v>
                </c:pt>
                <c:pt idx="453">
                  <c:v>4.0678986715118298E-2</c:v>
                </c:pt>
                <c:pt idx="454">
                  <c:v>4.0606386600491429E-2</c:v>
                </c:pt>
                <c:pt idx="455">
                  <c:v>4.0605765342280616E-2</c:v>
                </c:pt>
                <c:pt idx="456">
                  <c:v>4.9163022100243654E-2</c:v>
                </c:pt>
                <c:pt idx="457">
                  <c:v>4.0678986715118298E-2</c:v>
                </c:pt>
                <c:pt idx="458">
                  <c:v>4.0606386600491429E-2</c:v>
                </c:pt>
                <c:pt idx="459">
                  <c:v>4.9163022100243654E-2</c:v>
                </c:pt>
                <c:pt idx="460">
                  <c:v>4.0678986715118298E-2</c:v>
                </c:pt>
                <c:pt idx="461">
                  <c:v>4.9163022100243654E-2</c:v>
                </c:pt>
                <c:pt idx="462">
                  <c:v>0.86353387974951545</c:v>
                </c:pt>
                <c:pt idx="463">
                  <c:v>1.875887541633281E-2</c:v>
                </c:pt>
                <c:pt idx="464">
                  <c:v>1.0274840031207454E-2</c:v>
                </c:pt>
                <c:pt idx="465">
                  <c:v>1.0202239916580581E-2</c:v>
                </c:pt>
                <c:pt idx="466">
                  <c:v>1.0201618658369769E-2</c:v>
                </c:pt>
                <c:pt idx="467">
                  <c:v>1.875887541633281E-2</c:v>
                </c:pt>
                <c:pt idx="468">
                  <c:v>1.0274840031207454E-2</c:v>
                </c:pt>
                <c:pt idx="469">
                  <c:v>1.0202239916580581E-2</c:v>
                </c:pt>
                <c:pt idx="470">
                  <c:v>1.875887541633281E-2</c:v>
                </c:pt>
                <c:pt idx="471">
                  <c:v>1.0274840031207454E-2</c:v>
                </c:pt>
                <c:pt idx="472">
                  <c:v>1.875887541633281E-2</c:v>
                </c:pt>
                <c:pt idx="473">
                  <c:v>0</c:v>
                </c:pt>
                <c:pt idx="474">
                  <c:v>0.16610356791768977</c:v>
                </c:pt>
                <c:pt idx="475">
                  <c:v>0.15761953253256442</c:v>
                </c:pt>
                <c:pt idx="476">
                  <c:v>0.15754693241793755</c:v>
                </c:pt>
                <c:pt idx="477">
                  <c:v>0.15754631115972673</c:v>
                </c:pt>
                <c:pt idx="478">
                  <c:v>0.16610356791768977</c:v>
                </c:pt>
                <c:pt idx="479">
                  <c:v>0.15761953253256442</c:v>
                </c:pt>
                <c:pt idx="480">
                  <c:v>0.15754693241793755</c:v>
                </c:pt>
                <c:pt idx="481">
                  <c:v>0.16610356791768977</c:v>
                </c:pt>
                <c:pt idx="482">
                  <c:v>0.15761953253256442</c:v>
                </c:pt>
                <c:pt idx="483">
                  <c:v>0.16610356791768977</c:v>
                </c:pt>
                <c:pt idx="484">
                  <c:v>0.64642929566632112</c:v>
                </c:pt>
                <c:pt idx="485">
                  <c:v>4.0469333824652245E-2</c:v>
                </c:pt>
                <c:pt idx="486">
                  <c:v>3.1985298439526889E-2</c:v>
                </c:pt>
                <c:pt idx="487">
                  <c:v>3.191269832490002E-2</c:v>
                </c:pt>
                <c:pt idx="488">
                  <c:v>3.1912077066689207E-2</c:v>
                </c:pt>
                <c:pt idx="489">
                  <c:v>4.0469333824652245E-2</c:v>
                </c:pt>
                <c:pt idx="490">
                  <c:v>3.1985298439526889E-2</c:v>
                </c:pt>
                <c:pt idx="491">
                  <c:v>3.191269832490002E-2</c:v>
                </c:pt>
                <c:pt idx="492">
                  <c:v>4.0469333824652245E-2</c:v>
                </c:pt>
                <c:pt idx="493">
                  <c:v>3.1985298439526889E-2</c:v>
                </c:pt>
                <c:pt idx="494">
                  <c:v>4.0469333824652245E-2</c:v>
                </c:pt>
                <c:pt idx="495">
                  <c:v>0.85505335753993728</c:v>
                </c:pt>
                <c:pt idx="496">
                  <c:v>1.9606927637290626E-2</c:v>
                </c:pt>
                <c:pt idx="497">
                  <c:v>1.1122892252165268E-2</c:v>
                </c:pt>
                <c:pt idx="498">
                  <c:v>1.1050292137538395E-2</c:v>
                </c:pt>
                <c:pt idx="499">
                  <c:v>1.1049670879327584E-2</c:v>
                </c:pt>
                <c:pt idx="500">
                  <c:v>1.9606927637290626E-2</c:v>
                </c:pt>
                <c:pt idx="501">
                  <c:v>1.1122892252165268E-2</c:v>
                </c:pt>
                <c:pt idx="502">
                  <c:v>1.1050292137538395E-2</c:v>
                </c:pt>
                <c:pt idx="503">
                  <c:v>1.9606927637290626E-2</c:v>
                </c:pt>
                <c:pt idx="504">
                  <c:v>1.1122892252165268E-2</c:v>
                </c:pt>
                <c:pt idx="505">
                  <c:v>1.9606927637290626E-2</c:v>
                </c:pt>
                <c:pt idx="506">
                  <c:v>0</c:v>
                </c:pt>
                <c:pt idx="507">
                  <c:v>0.16610356791768977</c:v>
                </c:pt>
                <c:pt idx="508">
                  <c:v>0.15761953253256442</c:v>
                </c:pt>
                <c:pt idx="509">
                  <c:v>0.15754693241793755</c:v>
                </c:pt>
                <c:pt idx="510">
                  <c:v>0.15754631115972673</c:v>
                </c:pt>
                <c:pt idx="511">
                  <c:v>0.16610356791768977</c:v>
                </c:pt>
                <c:pt idx="512">
                  <c:v>0.15761953253256442</c:v>
                </c:pt>
                <c:pt idx="513">
                  <c:v>0.15754693241793755</c:v>
                </c:pt>
                <c:pt idx="514">
                  <c:v>0.16610356791768977</c:v>
                </c:pt>
                <c:pt idx="515">
                  <c:v>0.15761953253256442</c:v>
                </c:pt>
                <c:pt idx="516">
                  <c:v>0.16610356791768977</c:v>
                </c:pt>
                <c:pt idx="517">
                  <c:v>0.8059782117060259</c:v>
                </c:pt>
                <c:pt idx="518">
                  <c:v>2.4514442220681769E-2</c:v>
                </c:pt>
                <c:pt idx="519">
                  <c:v>1.6030406835556413E-2</c:v>
                </c:pt>
                <c:pt idx="520">
                  <c:v>1.595780672092954E-2</c:v>
                </c:pt>
                <c:pt idx="521">
                  <c:v>1.5957185462718727E-2</c:v>
                </c:pt>
                <c:pt idx="522">
                  <c:v>2.4514442220681769E-2</c:v>
                </c:pt>
                <c:pt idx="523">
                  <c:v>1.6030406835556413E-2</c:v>
                </c:pt>
                <c:pt idx="524">
                  <c:v>1.595780672092954E-2</c:v>
                </c:pt>
                <c:pt idx="525">
                  <c:v>2.4514442220681769E-2</c:v>
                </c:pt>
                <c:pt idx="526">
                  <c:v>1.6030406835556413E-2</c:v>
                </c:pt>
                <c:pt idx="527">
                  <c:v>2.4514442220681769E-2</c:v>
                </c:pt>
                <c:pt idx="528">
                  <c:v>0.47291466526400194</c:v>
                </c:pt>
                <c:pt idx="529">
                  <c:v>5.7820796864884172E-2</c:v>
                </c:pt>
                <c:pt idx="530">
                  <c:v>4.9336761479758816E-2</c:v>
                </c:pt>
                <c:pt idx="531">
                  <c:v>4.9264161365131946E-2</c:v>
                </c:pt>
                <c:pt idx="532">
                  <c:v>4.9263540106921133E-2</c:v>
                </c:pt>
                <c:pt idx="533">
                  <c:v>5.7820796864884172E-2</c:v>
                </c:pt>
                <c:pt idx="534">
                  <c:v>4.9336761479758816E-2</c:v>
                </c:pt>
                <c:pt idx="535">
                  <c:v>4.9264161365131946E-2</c:v>
                </c:pt>
                <c:pt idx="536">
                  <c:v>5.7820796864884172E-2</c:v>
                </c:pt>
                <c:pt idx="537">
                  <c:v>4.9336761479758816E-2</c:v>
                </c:pt>
                <c:pt idx="538">
                  <c:v>5.7820796864884172E-2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63-4291-B262-1EB593F47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811280"/>
        <c:axId val="381805048"/>
      </c:scatterChart>
      <c:valAx>
        <c:axId val="38181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805048"/>
        <c:crosses val="autoZero"/>
        <c:crossBetween val="midCat"/>
      </c:valAx>
      <c:valAx>
        <c:axId val="381805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81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Débit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simul_1a_1b_2a!$J$5:$J$11</c:f>
              <c:numCache>
                <c:formatCode>General</c:formatCode>
                <c:ptCount val="7"/>
                <c:pt idx="0">
                  <c:v>2.7510915147548465</c:v>
                </c:pt>
                <c:pt idx="1">
                  <c:v>2.8181114316463134</c:v>
                </c:pt>
                <c:pt idx="2">
                  <c:v>5.590113569301419</c:v>
                </c:pt>
                <c:pt idx="3">
                  <c:v>3.3174557280950072</c:v>
                </c:pt>
                <c:pt idx="4">
                  <c:v>2.8416096519319698</c:v>
                </c:pt>
                <c:pt idx="5">
                  <c:v>2.8392623569381659</c:v>
                </c:pt>
                <c:pt idx="6">
                  <c:v>4.5472922794897546</c:v>
                </c:pt>
              </c:numCache>
            </c:numRef>
          </c:xVal>
          <c:yVal>
            <c:numRef>
              <c:f>simul_1a_1b_2a!$I$5:$I$11</c:f>
              <c:numCache>
                <c:formatCode>0.000</c:formatCode>
                <c:ptCount val="7"/>
                <c:pt idx="0">
                  <c:v>0.71288847553460555</c:v>
                </c:pt>
                <c:pt idx="1">
                  <c:v>0.15133278303612252</c:v>
                </c:pt>
                <c:pt idx="2">
                  <c:v>2.2901611221458132E-2</c:v>
                </c:pt>
                <c:pt idx="3">
                  <c:v>2.336333815415751E-4</c:v>
                </c:pt>
                <c:pt idx="4">
                  <c:v>0.15133278303612252</c:v>
                </c:pt>
                <c:pt idx="5">
                  <c:v>1.5438385315745349E-3</c:v>
                </c:pt>
                <c:pt idx="6">
                  <c:v>1.0201613296215051E-2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39-4C1B-8AED-D208A71B6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811280"/>
        <c:axId val="381805048"/>
      </c:scatterChart>
      <c:valAx>
        <c:axId val="38181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805048"/>
        <c:crosses val="autoZero"/>
        <c:crossBetween val="midCat"/>
      </c:valAx>
      <c:valAx>
        <c:axId val="381805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81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Débit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simul_1a_1b_2a!$J$12:$J$60</c:f>
              <c:numCache>
                <c:formatCode>General</c:formatCode>
                <c:ptCount val="49"/>
                <c:pt idx="0">
                  <c:v>1.6595484956466544</c:v>
                </c:pt>
                <c:pt idx="1">
                  <c:v>2.994464137226136</c:v>
                </c:pt>
                <c:pt idx="2">
                  <c:v>1.9299665153794119</c:v>
                </c:pt>
                <c:pt idx="3">
                  <c:v>3.8339147402687637</c:v>
                </c:pt>
                <c:pt idx="4">
                  <c:v>5.9511829074899971</c:v>
                </c:pt>
                <c:pt idx="5">
                  <c:v>3.3756755853290956</c:v>
                </c:pt>
                <c:pt idx="6">
                  <c:v>6.5743212421034212</c:v>
                </c:pt>
                <c:pt idx="7">
                  <c:v>3.0885414632803663</c:v>
                </c:pt>
                <c:pt idx="8">
                  <c:v>4.0363327543228902</c:v>
                </c:pt>
                <c:pt idx="9">
                  <c:v>1.0598049326470744</c:v>
                </c:pt>
                <c:pt idx="10">
                  <c:v>8.1952348372149544</c:v>
                </c:pt>
                <c:pt idx="11">
                  <c:v>3.9622902103826783</c:v>
                </c:pt>
                <c:pt idx="12">
                  <c:v>2.4029307152172414</c:v>
                </c:pt>
                <c:pt idx="13">
                  <c:v>5.8736362229696226</c:v>
                </c:pt>
                <c:pt idx="14">
                  <c:v>5.3671469262418974</c:v>
                </c:pt>
                <c:pt idx="15">
                  <c:v>7.3638204994428413</c:v>
                </c:pt>
                <c:pt idx="16">
                  <c:v>4.8285958989570243</c:v>
                </c:pt>
                <c:pt idx="17">
                  <c:v>-1.5767754795617872</c:v>
                </c:pt>
                <c:pt idx="18">
                  <c:v>5.5082118343586295</c:v>
                </c:pt>
                <c:pt idx="19">
                  <c:v>4.5027683993175058</c:v>
                </c:pt>
                <c:pt idx="20">
                  <c:v>3.8478942659751305</c:v>
                </c:pt>
                <c:pt idx="21">
                  <c:v>4.7835678816463529</c:v>
                </c:pt>
                <c:pt idx="22">
                  <c:v>3.5376164763910354</c:v>
                </c:pt>
                <c:pt idx="23">
                  <c:v>4.2022632968305071</c:v>
                </c:pt>
                <c:pt idx="24">
                  <c:v>2.3054907021658106</c:v>
                </c:pt>
                <c:pt idx="25">
                  <c:v>3.5959104620915845</c:v>
                </c:pt>
                <c:pt idx="26">
                  <c:v>4.0067575305543253</c:v>
                </c:pt>
                <c:pt idx="27">
                  <c:v>3.8982619099803015</c:v>
                </c:pt>
                <c:pt idx="28">
                  <c:v>4.596301507619339</c:v>
                </c:pt>
                <c:pt idx="29">
                  <c:v>4.8623817439559698</c:v>
                </c:pt>
                <c:pt idx="30">
                  <c:v>3.5517356611764366</c:v>
                </c:pt>
                <c:pt idx="31">
                  <c:v>5.1790810136874228</c:v>
                </c:pt>
                <c:pt idx="32">
                  <c:v>1.1015170468297537</c:v>
                </c:pt>
                <c:pt idx="33">
                  <c:v>2.5514638871288788</c:v>
                </c:pt>
                <c:pt idx="34">
                  <c:v>3.6349950340743158</c:v>
                </c:pt>
                <c:pt idx="35">
                  <c:v>1.7069424960052939</c:v>
                </c:pt>
                <c:pt idx="36">
                  <c:v>1.7510401576134531</c:v>
                </c:pt>
                <c:pt idx="37">
                  <c:v>4.2395857932090246</c:v>
                </c:pt>
                <c:pt idx="38">
                  <c:v>5.3410957400663417</c:v>
                </c:pt>
                <c:pt idx="39">
                  <c:v>3.8864626297532272</c:v>
                </c:pt>
                <c:pt idx="40">
                  <c:v>1.494097523609704</c:v>
                </c:pt>
                <c:pt idx="41">
                  <c:v>2.8317195501631303</c:v>
                </c:pt>
                <c:pt idx="42">
                  <c:v>3.8711693275107577</c:v>
                </c:pt>
                <c:pt idx="43">
                  <c:v>7.5140882312886799</c:v>
                </c:pt>
                <c:pt idx="44">
                  <c:v>3.4835819680497653</c:v>
                </c:pt>
                <c:pt idx="45">
                  <c:v>6.6302138369201264</c:v>
                </c:pt>
                <c:pt idx="46">
                  <c:v>4.2237232429882674</c:v>
                </c:pt>
                <c:pt idx="47">
                  <c:v>2.3167525773120552</c:v>
                </c:pt>
                <c:pt idx="48">
                  <c:v>4.8000007655475283</c:v>
                </c:pt>
              </c:numCache>
            </c:numRef>
          </c:xVal>
          <c:yVal>
            <c:numRef>
              <c:f>simul_1a_1b_2a!$I$12:$I$60</c:f>
              <c:numCache>
                <c:formatCode>0.000</c:formatCode>
                <c:ptCount val="49"/>
                <c:pt idx="0">
                  <c:v>0.63793461611510849</c:v>
                </c:pt>
                <c:pt idx="1">
                  <c:v>0.14734469250135696</c:v>
                </c:pt>
                <c:pt idx="2">
                  <c:v>2.1710458408319436E-2</c:v>
                </c:pt>
                <c:pt idx="3">
                  <c:v>8.4805222095781527E-4</c:v>
                </c:pt>
                <c:pt idx="4">
                  <c:v>0.14734469250135696</c:v>
                </c:pt>
                <c:pt idx="5">
                  <c:v>5.75556680434896E-3</c:v>
                </c:pt>
                <c:pt idx="6">
                  <c:v>3.9061921448551362E-2</c:v>
                </c:pt>
                <c:pt idx="7">
                  <c:v>0</c:v>
                </c:pt>
                <c:pt idx="8">
                  <c:v>0.29867747553747948</c:v>
                </c:pt>
                <c:pt idx="9">
                  <c:v>0.17304324144444194</c:v>
                </c:pt>
                <c:pt idx="10">
                  <c:v>0.15218083525708034</c:v>
                </c:pt>
                <c:pt idx="11">
                  <c:v>0.29867747553747948</c:v>
                </c:pt>
                <c:pt idx="12">
                  <c:v>0.15708834984047149</c:v>
                </c:pt>
                <c:pt idx="13">
                  <c:v>0.19039470448467388</c:v>
                </c:pt>
                <c:pt idx="14">
                  <c:v>0.50052494878635978</c:v>
                </c:pt>
                <c:pt idx="15">
                  <c:v>0.17024630372281507</c:v>
                </c:pt>
                <c:pt idx="16">
                  <c:v>4.4612069629777568E-2</c:v>
                </c:pt>
                <c:pt idx="17">
                  <c:v>2.3749663442415948E-2</c:v>
                </c:pt>
                <c:pt idx="18">
                  <c:v>0.17024630372281507</c:v>
                </c:pt>
                <c:pt idx="19">
                  <c:v>2.8657178025807091E-2</c:v>
                </c:pt>
                <c:pt idx="20">
                  <c:v>6.1963532670009494E-2</c:v>
                </c:pt>
                <c:pt idx="21">
                  <c:v>0.63653281582585897</c:v>
                </c:pt>
                <c:pt idx="22">
                  <c:v>0.14757832588289854</c:v>
                </c:pt>
                <c:pt idx="23">
                  <c:v>2.1944091789861012E-2</c:v>
                </c:pt>
                <c:pt idx="24">
                  <c:v>1.0816856024993904E-3</c:v>
                </c:pt>
                <c:pt idx="25">
                  <c:v>0.14757832588289854</c:v>
                </c:pt>
                <c:pt idx="26">
                  <c:v>5.9892001858905348E-3</c:v>
                </c:pt>
                <c:pt idx="27">
                  <c:v>3.9295554830092935E-2</c:v>
                </c:pt>
                <c:pt idx="28">
                  <c:v>0</c:v>
                </c:pt>
                <c:pt idx="29">
                  <c:v>0.29867747553747948</c:v>
                </c:pt>
                <c:pt idx="30">
                  <c:v>0.17304324144444194</c:v>
                </c:pt>
                <c:pt idx="31">
                  <c:v>0.15218083525708034</c:v>
                </c:pt>
                <c:pt idx="32">
                  <c:v>0.29867747553747948</c:v>
                </c:pt>
                <c:pt idx="33">
                  <c:v>0.15708834984047149</c:v>
                </c:pt>
                <c:pt idx="34">
                  <c:v>0.19039470448467388</c:v>
                </c:pt>
                <c:pt idx="35">
                  <c:v>0.62867158492566133</c:v>
                </c:pt>
                <c:pt idx="36">
                  <c:v>0.14888853103293148</c:v>
                </c:pt>
                <c:pt idx="37">
                  <c:v>2.3254296939893969E-2</c:v>
                </c:pt>
                <c:pt idx="38">
                  <c:v>2.3918907525323501E-3</c:v>
                </c:pt>
                <c:pt idx="39">
                  <c:v>0.14888853103293148</c:v>
                </c:pt>
                <c:pt idx="40">
                  <c:v>7.2994053359234949E-3</c:v>
                </c:pt>
                <c:pt idx="41">
                  <c:v>4.0605759980125895E-2</c:v>
                </c:pt>
                <c:pt idx="42">
                  <c:v>0.57672493633781818</c:v>
                </c:pt>
                <c:pt idx="43">
                  <c:v>0.15754630579757201</c:v>
                </c:pt>
                <c:pt idx="44">
                  <c:v>3.1912071704534486E-2</c:v>
                </c:pt>
                <c:pt idx="45">
                  <c:v>1.1049665517172865E-2</c:v>
                </c:pt>
                <c:pt idx="46">
                  <c:v>0.15754630579757201</c:v>
                </c:pt>
                <c:pt idx="47">
                  <c:v>1.595718010056401E-2</c:v>
                </c:pt>
                <c:pt idx="48">
                  <c:v>4.9263534744766413E-2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6D-47F8-A07D-6B117EE20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811280"/>
        <c:axId val="381805048"/>
      </c:scatterChart>
      <c:valAx>
        <c:axId val="38181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805048"/>
        <c:crosses val="autoZero"/>
        <c:crossBetween val="midCat"/>
      </c:valAx>
      <c:valAx>
        <c:axId val="381805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81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Débit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simul_1a_1b_2a!$K$5:$K$11</c:f>
              <c:numCache>
                <c:formatCode>General</c:formatCode>
                <c:ptCount val="7"/>
                <c:pt idx="0">
                  <c:v>1.9612214360097713</c:v>
                </c:pt>
                <c:pt idx="1">
                  <c:v>0.42647264585694816</c:v>
                </c:pt>
                <c:pt idx="2">
                  <c:v>0.12802260764793874</c:v>
                </c:pt>
                <c:pt idx="3">
                  <c:v>7.7506839986930462E-4</c:v>
                </c:pt>
                <c:pt idx="4">
                  <c:v>0.43002869692917239</c:v>
                </c:pt>
                <c:pt idx="5">
                  <c:v>4.383362627890271E-3</c:v>
                </c:pt>
                <c:pt idx="6">
                  <c:v>4.6389717380218728E-2</c:v>
                </c:pt>
              </c:numCache>
            </c:numRef>
          </c:xVal>
          <c:yVal>
            <c:numRef>
              <c:f>simul_1a_1b_2a!$I$5:$I$11</c:f>
              <c:numCache>
                <c:formatCode>0.000</c:formatCode>
                <c:ptCount val="7"/>
                <c:pt idx="0">
                  <c:v>0.71288847553460555</c:v>
                </c:pt>
                <c:pt idx="1">
                  <c:v>0.15133278303612252</c:v>
                </c:pt>
                <c:pt idx="2">
                  <c:v>2.2901611221458132E-2</c:v>
                </c:pt>
                <c:pt idx="3">
                  <c:v>2.336333815415751E-4</c:v>
                </c:pt>
                <c:pt idx="4">
                  <c:v>0.15133278303612252</c:v>
                </c:pt>
                <c:pt idx="5">
                  <c:v>1.5438385315745349E-3</c:v>
                </c:pt>
                <c:pt idx="6">
                  <c:v>1.0201613296215051E-2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70-495E-B206-FB94C0D1A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811280"/>
        <c:axId val="381805048"/>
      </c:scatterChart>
      <c:valAx>
        <c:axId val="38181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805048"/>
        <c:crosses val="autoZero"/>
        <c:crossBetween val="midCat"/>
      </c:valAx>
      <c:valAx>
        <c:axId val="381805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81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5DDBD3E4-F85A-4713-B78C-E1F5B57D7B8D}"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628650</xdr:colOff>
      <xdr:row>73</xdr:row>
      <xdr:rowOff>166687</xdr:rowOff>
    </xdr:from>
    <xdr:to>
      <xdr:col>17</xdr:col>
      <xdr:colOff>628650</xdr:colOff>
      <xdr:row>88</xdr:row>
      <xdr:rowOff>52387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8BD76F8-AE39-4325-83C4-6BF3A3325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752475</xdr:colOff>
      <xdr:row>89</xdr:row>
      <xdr:rowOff>0</xdr:rowOff>
    </xdr:from>
    <xdr:to>
      <xdr:col>17</xdr:col>
      <xdr:colOff>752475</xdr:colOff>
      <xdr:row>103</xdr:row>
      <xdr:rowOff>76200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9B9B801-B976-4B1C-B421-76AB56094C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47625</xdr:colOff>
      <xdr:row>3</xdr:row>
      <xdr:rowOff>228600</xdr:rowOff>
    </xdr:from>
    <xdr:to>
      <xdr:col>19</xdr:col>
      <xdr:colOff>47625</xdr:colOff>
      <xdr:row>18</xdr:row>
      <xdr:rowOff>66675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D4CF67E-771B-4471-877E-BFF4F5E7B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21</xdr:row>
      <xdr:rowOff>0</xdr:rowOff>
    </xdr:from>
    <xdr:to>
      <xdr:col>19</xdr:col>
      <xdr:colOff>0</xdr:colOff>
      <xdr:row>35</xdr:row>
      <xdr:rowOff>76200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B045EBF1-9354-49ED-A780-14EE1F3F25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476250</xdr:colOff>
      <xdr:row>57</xdr:row>
      <xdr:rowOff>128587</xdr:rowOff>
    </xdr:from>
    <xdr:to>
      <xdr:col>17</xdr:col>
      <xdr:colOff>476250</xdr:colOff>
      <xdr:row>72</xdr:row>
      <xdr:rowOff>14287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aphique 6">
              <a:extLst>
                <a:ext uri="{FF2B5EF4-FFF2-40B4-BE49-F238E27FC236}">
                  <a16:creationId xmlns:a16="http://schemas.microsoft.com/office/drawing/2014/main" id="{5CD317B0-2621-4645-93F5-D1F0327A48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96425" y="111299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H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20</xdr:col>
      <xdr:colOff>0</xdr:colOff>
      <xdr:row>4</xdr:row>
      <xdr:rowOff>0</xdr:rowOff>
    </xdr:from>
    <xdr:to>
      <xdr:col>26</xdr:col>
      <xdr:colOff>0</xdr:colOff>
      <xdr:row>18</xdr:row>
      <xdr:rowOff>76200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D4A3111E-C252-4597-8F2B-F019B664F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ierre-Yves/Documents/EPA%20SWMM%20Projects/Twann_2026/260622_connexions_scenarios_SWM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erçu_phases"/>
      <sheetName val="Def_classes_probabilité"/>
      <sheetName val="Liste_simulations"/>
    </sheetNames>
    <sheetDataSet>
      <sheetData sheetId="0">
        <row r="3">
          <cell r="N3">
            <v>0.71288847553460555</v>
          </cell>
        </row>
        <row r="4">
          <cell r="N4">
            <v>0.15133278303612252</v>
          </cell>
        </row>
        <row r="5">
          <cell r="N5">
            <v>0.15133278303612252</v>
          </cell>
        </row>
        <row r="6">
          <cell r="N6">
            <v>1.0201613296215051E-2</v>
          </cell>
        </row>
        <row r="9">
          <cell r="N9">
            <v>0.69862223334479423</v>
          </cell>
        </row>
        <row r="10">
          <cell r="N10">
            <v>0.14734469250135696</v>
          </cell>
        </row>
        <row r="11">
          <cell r="N11">
            <v>0.14734469250135696</v>
          </cell>
        </row>
        <row r="12">
          <cell r="N12">
            <v>3.9061921448551362E-2</v>
          </cell>
        </row>
        <row r="15">
          <cell r="N15">
            <v>0.97454726722425844</v>
          </cell>
        </row>
        <row r="16">
          <cell r="N16">
            <v>8.557262120117759E-3</v>
          </cell>
        </row>
        <row r="17">
          <cell r="N17">
            <v>8.557262120117759E-3</v>
          </cell>
        </row>
        <row r="18">
          <cell r="N18">
            <v>8.557262120117759E-3</v>
          </cell>
        </row>
        <row r="19">
          <cell r="N19">
            <v>8.557262120117759E-3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91625-4CAA-4351-A57B-98F6C68F428C}">
  <dimension ref="B2:I34"/>
  <sheetViews>
    <sheetView workbookViewId="0">
      <selection activeCell="C27" sqref="C27:E27"/>
    </sheetView>
  </sheetViews>
  <sheetFormatPr baseColWidth="10" defaultRowHeight="15" x14ac:dyDescent="0.25"/>
  <cols>
    <col min="7" max="7" width="12" bestFit="1" customWidth="1"/>
  </cols>
  <sheetData>
    <row r="2" spans="2:9" x14ac:dyDescent="0.25">
      <c r="B2" t="s">
        <v>45</v>
      </c>
    </row>
    <row r="3" spans="2:9" x14ac:dyDescent="0.25">
      <c r="B3" s="4" t="s">
        <v>44</v>
      </c>
      <c r="G3" s="3" t="s">
        <v>43</v>
      </c>
    </row>
    <row r="4" spans="2:9" x14ac:dyDescent="0.25">
      <c r="B4" s="4" t="s">
        <v>17</v>
      </c>
      <c r="C4" s="1" t="s">
        <v>14</v>
      </c>
      <c r="G4">
        <f>[1]Aperçu_phases!$N$3</f>
        <v>0.71288847553460555</v>
      </c>
      <c r="I4" t="s">
        <v>47</v>
      </c>
    </row>
    <row r="5" spans="2:9" x14ac:dyDescent="0.25">
      <c r="B5" s="4" t="s">
        <v>16</v>
      </c>
      <c r="C5" s="1" t="s">
        <v>1</v>
      </c>
      <c r="D5" s="1"/>
      <c r="E5" s="1"/>
      <c r="G5">
        <f>[1]Aperçu_phases!$N$4</f>
        <v>0.15133278303612252</v>
      </c>
    </row>
    <row r="6" spans="2:9" x14ac:dyDescent="0.25">
      <c r="B6" s="4" t="s">
        <v>20</v>
      </c>
      <c r="C6" s="1" t="s">
        <v>1</v>
      </c>
      <c r="D6" s="1" t="s">
        <v>2</v>
      </c>
      <c r="E6" s="1"/>
      <c r="G6">
        <f>[1]Aperçu_phases!$N$4*[1]Aperçu_phases!$N$5</f>
        <v>2.2901611221458132E-2</v>
      </c>
    </row>
    <row r="7" spans="2:9" x14ac:dyDescent="0.25">
      <c r="B7" s="4" t="s">
        <v>21</v>
      </c>
      <c r="C7" s="1" t="s">
        <v>1</v>
      </c>
      <c r="D7" s="1" t="s">
        <v>2</v>
      </c>
      <c r="E7" s="1" t="s">
        <v>3</v>
      </c>
      <c r="G7">
        <f>[1]Aperçu_phases!$N$4*[1]Aperçu_phases!$N$5*[1]Aperçu_phases!$N$6</f>
        <v>2.336333815415751E-4</v>
      </c>
    </row>
    <row r="8" spans="2:9" x14ac:dyDescent="0.25">
      <c r="B8" s="4" t="s">
        <v>22</v>
      </c>
      <c r="C8" s="1" t="s">
        <v>2</v>
      </c>
      <c r="G8">
        <f>[1]Aperçu_phases!$N$5</f>
        <v>0.15133278303612252</v>
      </c>
    </row>
    <row r="9" spans="2:9" x14ac:dyDescent="0.25">
      <c r="B9" s="4" t="s">
        <v>23</v>
      </c>
      <c r="C9" s="1" t="s">
        <v>2</v>
      </c>
      <c r="D9" s="1" t="s">
        <v>3</v>
      </c>
      <c r="G9">
        <f>[1]Aperçu_phases!$N$5*[1]Aperçu_phases!$N$6</f>
        <v>1.5438385315745349E-3</v>
      </c>
    </row>
    <row r="10" spans="2:9" x14ac:dyDescent="0.25">
      <c r="B10" s="4" t="s">
        <v>24</v>
      </c>
      <c r="C10" s="1" t="s">
        <v>3</v>
      </c>
      <c r="G10">
        <f>[1]Aperçu_phases!$N$6</f>
        <v>1.0201613296215051E-2</v>
      </c>
    </row>
    <row r="12" spans="2:9" x14ac:dyDescent="0.25">
      <c r="B12" t="s">
        <v>45</v>
      </c>
    </row>
    <row r="13" spans="2:9" x14ac:dyDescent="0.25">
      <c r="B13" s="4" t="s">
        <v>44</v>
      </c>
      <c r="G13" s="3" t="s">
        <v>43</v>
      </c>
    </row>
    <row r="14" spans="2:9" x14ac:dyDescent="0.25">
      <c r="B14" s="4" t="s">
        <v>18</v>
      </c>
      <c r="C14" s="1" t="s">
        <v>14</v>
      </c>
      <c r="G14">
        <f>[1]Aperçu_phases!$N$9</f>
        <v>0.69862223334479423</v>
      </c>
      <c r="I14" t="s">
        <v>47</v>
      </c>
    </row>
    <row r="15" spans="2:9" x14ac:dyDescent="0.25">
      <c r="B15" s="4" t="s">
        <v>26</v>
      </c>
      <c r="C15" s="1" t="s">
        <v>5</v>
      </c>
      <c r="G15">
        <f>[1]Aperçu_phases!$N$10</f>
        <v>0.14734469250135696</v>
      </c>
    </row>
    <row r="16" spans="2:9" x14ac:dyDescent="0.25">
      <c r="B16" s="4" t="s">
        <v>27</v>
      </c>
      <c r="C16" s="1" t="s">
        <v>5</v>
      </c>
      <c r="D16" s="1" t="s">
        <v>6</v>
      </c>
      <c r="G16">
        <f>[1]Aperçu_phases!$N$10*[1]Aperçu_phases!$N$11</f>
        <v>2.1710458408319436E-2</v>
      </c>
    </row>
    <row r="17" spans="2:9" x14ac:dyDescent="0.25">
      <c r="B17" s="4" t="s">
        <v>28</v>
      </c>
      <c r="C17" s="1" t="s">
        <v>5</v>
      </c>
      <c r="D17" s="1" t="s">
        <v>6</v>
      </c>
      <c r="E17" s="1" t="s">
        <v>7</v>
      </c>
      <c r="G17">
        <f>[1]Aperçu_phases!$N$10*[1]Aperçu_phases!$N$11*[1]Aperçu_phases!$N$12</f>
        <v>8.4805222095781527E-4</v>
      </c>
    </row>
    <row r="18" spans="2:9" x14ac:dyDescent="0.25">
      <c r="B18" s="4" t="s">
        <v>29</v>
      </c>
      <c r="C18" s="1" t="s">
        <v>6</v>
      </c>
      <c r="G18">
        <f>[1]Aperçu_phases!$N$11</f>
        <v>0.14734469250135696</v>
      </c>
    </row>
    <row r="19" spans="2:9" x14ac:dyDescent="0.25">
      <c r="B19" s="4" t="s">
        <v>30</v>
      </c>
      <c r="C19" s="1" t="s">
        <v>6</v>
      </c>
      <c r="D19" s="1" t="s">
        <v>7</v>
      </c>
      <c r="G19">
        <f>[1]Aperçu_phases!$N$11*[1]Aperçu_phases!$N$12</f>
        <v>5.75556680434896E-3</v>
      </c>
    </row>
    <row r="20" spans="2:9" x14ac:dyDescent="0.25">
      <c r="B20" s="4" t="s">
        <v>31</v>
      </c>
      <c r="C20" s="1" t="s">
        <v>7</v>
      </c>
      <c r="G20">
        <f>[1]Aperçu_phases!$N$12</f>
        <v>3.9061921448551362E-2</v>
      </c>
    </row>
    <row r="22" spans="2:9" x14ac:dyDescent="0.25">
      <c r="B22" t="s">
        <v>45</v>
      </c>
    </row>
    <row r="23" spans="2:9" x14ac:dyDescent="0.25">
      <c r="B23" s="4" t="s">
        <v>44</v>
      </c>
      <c r="G23" s="3" t="s">
        <v>43</v>
      </c>
    </row>
    <row r="24" spans="2:9" x14ac:dyDescent="0.25">
      <c r="B24" s="4" t="s">
        <v>19</v>
      </c>
      <c r="C24" s="1" t="s">
        <v>14</v>
      </c>
      <c r="G24">
        <f>[1]Aperçu_phases!$N$15</f>
        <v>0.97454726722425844</v>
      </c>
      <c r="I24" t="s">
        <v>47</v>
      </c>
    </row>
    <row r="25" spans="2:9" x14ac:dyDescent="0.25">
      <c r="B25" s="4" t="s">
        <v>32</v>
      </c>
      <c r="C25" s="1" t="s">
        <v>9</v>
      </c>
      <c r="G25">
        <f>[1]Aperçu_phases!$N$16</f>
        <v>8.557262120117759E-3</v>
      </c>
    </row>
    <row r="26" spans="2:9" x14ac:dyDescent="0.25">
      <c r="B26" s="4" t="s">
        <v>25</v>
      </c>
      <c r="C26" s="1" t="s">
        <v>9</v>
      </c>
      <c r="D26" s="1" t="s">
        <v>10</v>
      </c>
      <c r="G26">
        <f>[1]Aperçu_phases!$N$16*[1]Aperçu_phases!$N$17</f>
        <v>7.3226734992402288E-5</v>
      </c>
    </row>
    <row r="27" spans="2:9" x14ac:dyDescent="0.25">
      <c r="B27" s="4" t="s">
        <v>33</v>
      </c>
      <c r="C27" s="1" t="s">
        <v>9</v>
      </c>
      <c r="D27" s="1" t="s">
        <v>10</v>
      </c>
      <c r="E27" s="1" t="s">
        <v>11</v>
      </c>
      <c r="G27">
        <f>[1]Aperçu_phases!$N$16*[1]Aperçu_phases!$N$17*[1]Aperçu_phases!$N$18</f>
        <v>6.266203655303857E-7</v>
      </c>
    </row>
    <row r="28" spans="2:9" x14ac:dyDescent="0.25">
      <c r="B28" s="4" t="s">
        <v>34</v>
      </c>
      <c r="C28" s="1" t="s">
        <v>9</v>
      </c>
      <c r="D28" s="1" t="s">
        <v>10</v>
      </c>
      <c r="E28" s="1" t="s">
        <v>11</v>
      </c>
      <c r="F28" s="1" t="s">
        <v>12</v>
      </c>
      <c r="G28">
        <f>[1]Aperçu_phases!$N$16*[1]Aperçu_phases!$N$17*[1]Aperçu_phases!$N$18*[1]Aperçu_phases!$N$19</f>
        <v>5.3621547176475137E-9</v>
      </c>
    </row>
    <row r="29" spans="2:9" x14ac:dyDescent="0.25">
      <c r="B29" s="4" t="s">
        <v>35</v>
      </c>
      <c r="C29" s="1" t="s">
        <v>10</v>
      </c>
      <c r="G29">
        <f>[1]Aperçu_phases!$N$17</f>
        <v>8.557262120117759E-3</v>
      </c>
    </row>
    <row r="30" spans="2:9" x14ac:dyDescent="0.25">
      <c r="B30" s="4" t="s">
        <v>36</v>
      </c>
      <c r="C30" s="1" t="s">
        <v>10</v>
      </c>
      <c r="D30" s="1" t="s">
        <v>11</v>
      </c>
      <c r="G30">
        <f>[1]Aperçu_phases!$N$17*[1]Aperçu_phases!$N$18</f>
        <v>7.3226734992402288E-5</v>
      </c>
    </row>
    <row r="31" spans="2:9" x14ac:dyDescent="0.25">
      <c r="B31" s="4" t="s">
        <v>37</v>
      </c>
      <c r="C31" s="1" t="s">
        <v>10</v>
      </c>
      <c r="D31" s="1" t="s">
        <v>11</v>
      </c>
      <c r="E31" s="1" t="s">
        <v>12</v>
      </c>
      <c r="G31">
        <f>[1]Aperçu_phases!$N$17*[1]Aperçu_phases!$N$18*[1]Aperçu_phases!$N$19</f>
        <v>6.266203655303857E-7</v>
      </c>
    </row>
    <row r="32" spans="2:9" x14ac:dyDescent="0.25">
      <c r="B32" s="4" t="s">
        <v>38</v>
      </c>
      <c r="C32" s="1" t="s">
        <v>11</v>
      </c>
      <c r="G32">
        <f>[1]Aperçu_phases!$N$18</f>
        <v>8.557262120117759E-3</v>
      </c>
    </row>
    <row r="33" spans="2:7" x14ac:dyDescent="0.25">
      <c r="B33" s="4" t="s">
        <v>39</v>
      </c>
      <c r="C33" s="1" t="s">
        <v>11</v>
      </c>
      <c r="D33" s="1" t="s">
        <v>12</v>
      </c>
      <c r="G33">
        <f>[1]Aperçu_phases!$N$18*[1]Aperçu_phases!$N$19</f>
        <v>7.3226734992402288E-5</v>
      </c>
    </row>
    <row r="34" spans="2:7" x14ac:dyDescent="0.25">
      <c r="B34" s="4" t="s">
        <v>40</v>
      </c>
      <c r="C34" s="1" t="s">
        <v>12</v>
      </c>
      <c r="G34">
        <f>[1]Aperçu_phases!$N$19</f>
        <v>8.557262120117759E-3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EED1-3C1B-4BAC-9C77-E20C7A23AA34}">
  <dimension ref="A1:Q599"/>
  <sheetViews>
    <sheetView tabSelected="1" topLeftCell="A157" workbookViewId="0">
      <selection activeCell="B64" sqref="B64:D64"/>
    </sheetView>
  </sheetViews>
  <sheetFormatPr baseColWidth="10" defaultRowHeight="15" x14ac:dyDescent="0.25"/>
  <cols>
    <col min="8" max="8" width="12" bestFit="1" customWidth="1"/>
    <col min="9" max="9" width="20.42578125" style="1" customWidth="1"/>
  </cols>
  <sheetData>
    <row r="1" spans="1:15" x14ac:dyDescent="0.25">
      <c r="F1" t="s">
        <v>42</v>
      </c>
    </row>
    <row r="2" spans="1:15" ht="18.75" x14ac:dyDescent="0.3">
      <c r="A2" s="5" t="s">
        <v>41</v>
      </c>
      <c r="F2" t="s">
        <v>48</v>
      </c>
    </row>
    <row r="3" spans="1:15" ht="18.75" x14ac:dyDescent="0.3">
      <c r="A3" s="5"/>
      <c r="F3" s="3"/>
      <c r="G3" s="3"/>
      <c r="H3" s="3"/>
      <c r="I3" s="4"/>
      <c r="J3" s="3" t="s">
        <v>55</v>
      </c>
      <c r="K3" s="3"/>
      <c r="L3" s="3"/>
      <c r="M3" s="3"/>
    </row>
    <row r="4" spans="1:15" ht="18.75" x14ac:dyDescent="0.3">
      <c r="A4" s="5"/>
      <c r="F4" s="4" t="s">
        <v>49</v>
      </c>
      <c r="G4" s="4" t="s">
        <v>50</v>
      </c>
      <c r="H4" s="4" t="s">
        <v>51</v>
      </c>
      <c r="I4" s="4" t="s">
        <v>46</v>
      </c>
      <c r="J4" s="4" t="s">
        <v>52</v>
      </c>
      <c r="K4" s="4" t="s">
        <v>56</v>
      </c>
      <c r="L4" s="4" t="s">
        <v>53</v>
      </c>
      <c r="M4" s="4" t="s">
        <v>54</v>
      </c>
    </row>
    <row r="5" spans="1:15" x14ac:dyDescent="0.25">
      <c r="A5" t="s">
        <v>0</v>
      </c>
      <c r="B5" s="4" t="s">
        <v>17</v>
      </c>
      <c r="F5">
        <f>Definitions!G4</f>
        <v>0.71288847553460555</v>
      </c>
      <c r="I5" s="6">
        <f t="shared" ref="I5:I68" si="0">SUM(F5+G5+H5)</f>
        <v>0.71288847553460555</v>
      </c>
      <c r="J5" s="1">
        <f t="shared" ref="J5:J60" ca="1" si="1">_xlfn.NORM.INV(RAND(),4,2)</f>
        <v>2.7510915147548465</v>
      </c>
      <c r="K5" s="1">
        <f t="shared" ref="K5:K11" ca="1" si="2">I5*J5</f>
        <v>1.9612214360097713</v>
      </c>
      <c r="N5" s="4"/>
      <c r="O5" s="1"/>
    </row>
    <row r="6" spans="1:15" x14ac:dyDescent="0.25">
      <c r="B6" s="4" t="s">
        <v>16</v>
      </c>
      <c r="F6">
        <f>Definitions!G5</f>
        <v>0.15133278303612252</v>
      </c>
      <c r="I6" s="6">
        <f t="shared" si="0"/>
        <v>0.15133278303612252</v>
      </c>
      <c r="J6" s="1">
        <f t="shared" ca="1" si="1"/>
        <v>2.8181114316463134</v>
      </c>
      <c r="K6" s="1">
        <f t="shared" ca="1" si="2"/>
        <v>0.42647264585694816</v>
      </c>
    </row>
    <row r="7" spans="1:15" x14ac:dyDescent="0.25">
      <c r="B7" s="4" t="s">
        <v>20</v>
      </c>
      <c r="F7">
        <f>Definitions!G6</f>
        <v>2.2901611221458132E-2</v>
      </c>
      <c r="I7" s="6">
        <f t="shared" si="0"/>
        <v>2.2901611221458132E-2</v>
      </c>
      <c r="J7" s="1">
        <f t="shared" ca="1" si="1"/>
        <v>5.590113569301419</v>
      </c>
      <c r="K7" s="1">
        <f t="shared" ca="1" si="2"/>
        <v>0.12802260764793874</v>
      </c>
    </row>
    <row r="8" spans="1:15" x14ac:dyDescent="0.25">
      <c r="B8" s="4" t="s">
        <v>21</v>
      </c>
      <c r="F8">
        <f>Definitions!G7</f>
        <v>2.336333815415751E-4</v>
      </c>
      <c r="I8" s="6">
        <f t="shared" si="0"/>
        <v>2.336333815415751E-4</v>
      </c>
      <c r="J8" s="1">
        <f t="shared" ca="1" si="1"/>
        <v>3.3174557280950072</v>
      </c>
      <c r="K8" s="1">
        <f t="shared" ca="1" si="2"/>
        <v>7.7506839986930462E-4</v>
      </c>
    </row>
    <row r="9" spans="1:15" x14ac:dyDescent="0.25">
      <c r="B9" s="4" t="s">
        <v>22</v>
      </c>
      <c r="F9">
        <f>Definitions!G8</f>
        <v>0.15133278303612252</v>
      </c>
      <c r="I9" s="6">
        <f t="shared" si="0"/>
        <v>0.15133278303612252</v>
      </c>
      <c r="J9" s="1">
        <f t="shared" ca="1" si="1"/>
        <v>2.8416096519319698</v>
      </c>
      <c r="K9" s="1">
        <f t="shared" ca="1" si="2"/>
        <v>0.43002869692917239</v>
      </c>
    </row>
    <row r="10" spans="1:15" x14ac:dyDescent="0.25">
      <c r="B10" s="4" t="s">
        <v>23</v>
      </c>
      <c r="F10">
        <f>Definitions!G9</f>
        <v>1.5438385315745349E-3</v>
      </c>
      <c r="I10" s="6">
        <f t="shared" si="0"/>
        <v>1.5438385315745349E-3</v>
      </c>
      <c r="J10" s="1">
        <f t="shared" ca="1" si="1"/>
        <v>2.8392623569381659</v>
      </c>
      <c r="K10" s="1">
        <f t="shared" ca="1" si="2"/>
        <v>4.383362627890271E-3</v>
      </c>
    </row>
    <row r="11" spans="1:15" x14ac:dyDescent="0.25">
      <c r="B11" s="4" t="s">
        <v>24</v>
      </c>
      <c r="F11">
        <f>Definitions!G10</f>
        <v>1.0201613296215051E-2</v>
      </c>
      <c r="I11" s="6">
        <f t="shared" si="0"/>
        <v>1.0201613296215051E-2</v>
      </c>
      <c r="J11" s="1">
        <f t="shared" ca="1" si="1"/>
        <v>4.5472922794897546</v>
      </c>
      <c r="K11" s="1">
        <f t="shared" ca="1" si="2"/>
        <v>4.6389717380218728E-2</v>
      </c>
    </row>
    <row r="12" spans="1:15" x14ac:dyDescent="0.25">
      <c r="A12" t="s">
        <v>4</v>
      </c>
      <c r="B12" s="4" t="s">
        <v>17</v>
      </c>
      <c r="C12" s="4" t="s">
        <v>18</v>
      </c>
      <c r="E12" s="4"/>
      <c r="F12" s="7"/>
      <c r="G12" s="8"/>
      <c r="I12" s="6">
        <f>IF(1-(SUM(I13:I18))&lt;0,0,1-(SUM(I13:I18)))</f>
        <v>0.63793461611510849</v>
      </c>
      <c r="J12" s="1">
        <f t="shared" ca="1" si="1"/>
        <v>1.6595484956466544</v>
      </c>
      <c r="K12" s="1">
        <f t="shared" ref="K12:K60" ca="1" si="3">I12*J12</f>
        <v>1.0586834324947543</v>
      </c>
    </row>
    <row r="13" spans="1:15" x14ac:dyDescent="0.25">
      <c r="B13" s="4"/>
      <c r="C13" s="4" t="s">
        <v>26</v>
      </c>
      <c r="E13" s="4"/>
      <c r="F13" s="1"/>
      <c r="G13">
        <f>Definitions!G$15</f>
        <v>0.14734469250135696</v>
      </c>
      <c r="I13" s="6">
        <f t="shared" si="0"/>
        <v>0.14734469250135696</v>
      </c>
      <c r="J13" s="1">
        <f t="shared" ca="1" si="1"/>
        <v>2.994464137226136</v>
      </c>
      <c r="K13" s="1">
        <f t="shared" ca="1" si="3"/>
        <v>0.44121839750592617</v>
      </c>
    </row>
    <row r="14" spans="1:15" x14ac:dyDescent="0.25">
      <c r="B14" s="4"/>
      <c r="C14" s="4" t="s">
        <v>27</v>
      </c>
      <c r="E14" s="4"/>
      <c r="F14" s="1"/>
      <c r="G14">
        <f>Definitions!G$16</f>
        <v>2.1710458408319436E-2</v>
      </c>
      <c r="I14" s="6">
        <f t="shared" si="0"/>
        <v>2.1710458408319436E-2</v>
      </c>
      <c r="J14" s="1">
        <f t="shared" ca="1" si="1"/>
        <v>1.9299665153794119</v>
      </c>
      <c r="K14" s="1">
        <f t="shared" ca="1" si="3"/>
        <v>4.1900457761593915E-2</v>
      </c>
    </row>
    <row r="15" spans="1:15" x14ac:dyDescent="0.25">
      <c r="B15" s="4"/>
      <c r="C15" s="4" t="s">
        <v>28</v>
      </c>
      <c r="E15" s="4"/>
      <c r="F15" s="1"/>
      <c r="G15">
        <f>Definitions!G$17</f>
        <v>8.4805222095781527E-4</v>
      </c>
      <c r="I15" s="6">
        <f t="shared" si="0"/>
        <v>8.4805222095781527E-4</v>
      </c>
      <c r="J15" s="1">
        <f t="shared" ca="1" si="1"/>
        <v>3.8339147402687637</v>
      </c>
      <c r="K15" s="1">
        <f t="shared" ca="1" si="3"/>
        <v>3.2513599104478305E-3</v>
      </c>
    </row>
    <row r="16" spans="1:15" x14ac:dyDescent="0.25">
      <c r="B16" s="4"/>
      <c r="C16" s="4" t="s">
        <v>29</v>
      </c>
      <c r="E16" s="4"/>
      <c r="F16" s="1"/>
      <c r="G16">
        <f>Definitions!G$18</f>
        <v>0.14734469250135696</v>
      </c>
      <c r="I16" s="6">
        <f t="shared" si="0"/>
        <v>0.14734469250135696</v>
      </c>
      <c r="J16" s="1">
        <f t="shared" ca="1" si="1"/>
        <v>5.9511829074899971</v>
      </c>
      <c r="K16" s="1">
        <f t="shared" ca="1" si="3"/>
        <v>0.87687521552344505</v>
      </c>
    </row>
    <row r="17" spans="2:13" x14ac:dyDescent="0.25">
      <c r="B17" s="4"/>
      <c r="C17" s="4" t="s">
        <v>30</v>
      </c>
      <c r="E17" s="4"/>
      <c r="F17" s="1"/>
      <c r="G17">
        <f>Definitions!G$19</f>
        <v>5.75556680434896E-3</v>
      </c>
      <c r="I17" s="6">
        <f t="shared" si="0"/>
        <v>5.75556680434896E-3</v>
      </c>
      <c r="J17" s="1">
        <f t="shared" ca="1" si="1"/>
        <v>3.3756755853290956</v>
      </c>
      <c r="K17" s="1">
        <f t="shared" ca="1" si="3"/>
        <v>1.9428926341171389E-2</v>
      </c>
    </row>
    <row r="18" spans="2:13" x14ac:dyDescent="0.25">
      <c r="B18" s="4"/>
      <c r="C18" s="4" t="s">
        <v>31</v>
      </c>
      <c r="E18" s="4"/>
      <c r="F18" s="1"/>
      <c r="G18">
        <f>Definitions!G$20</f>
        <v>3.9061921448551362E-2</v>
      </c>
      <c r="I18" s="6">
        <f t="shared" si="0"/>
        <v>3.9061921448551362E-2</v>
      </c>
      <c r="J18" s="1">
        <f t="shared" ca="1" si="1"/>
        <v>6.5743212421034212</v>
      </c>
      <c r="K18" s="1">
        <f t="shared" ca="1" si="3"/>
        <v>0.25680561993658646</v>
      </c>
    </row>
    <row r="19" spans="2:13" x14ac:dyDescent="0.25">
      <c r="B19" s="4" t="s">
        <v>16</v>
      </c>
      <c r="C19" s="4" t="s">
        <v>18</v>
      </c>
      <c r="E19" s="4"/>
      <c r="F19" s="1">
        <f>F$6</f>
        <v>0.15133278303612252</v>
      </c>
      <c r="H19" s="1"/>
      <c r="I19" s="6">
        <f t="shared" ref="I19" si="4">IF(1-(SUM(I20:I25))&lt;0,0,1-(SUM(I20:I25)))</f>
        <v>0</v>
      </c>
      <c r="J19" s="1">
        <f t="shared" ca="1" si="1"/>
        <v>3.0885414632803663</v>
      </c>
      <c r="K19" s="1">
        <f t="shared" ca="1" si="3"/>
        <v>0</v>
      </c>
    </row>
    <row r="20" spans="2:13" x14ac:dyDescent="0.25">
      <c r="B20" s="4"/>
      <c r="C20" s="4" t="s">
        <v>26</v>
      </c>
      <c r="E20" s="4"/>
      <c r="F20" s="1">
        <f t="shared" ref="F20:F25" si="5">F$6</f>
        <v>0.15133278303612252</v>
      </c>
      <c r="G20">
        <f>Definitions!G$15</f>
        <v>0.14734469250135696</v>
      </c>
      <c r="I20" s="6">
        <f t="shared" si="0"/>
        <v>0.29867747553747948</v>
      </c>
      <c r="J20" s="1">
        <f t="shared" ca="1" si="1"/>
        <v>4.0363327543228902</v>
      </c>
      <c r="K20" s="1">
        <f t="shared" ca="1" si="3"/>
        <v>1.2055616774904021</v>
      </c>
    </row>
    <row r="21" spans="2:13" x14ac:dyDescent="0.25">
      <c r="B21" s="4"/>
      <c r="C21" s="4" t="s">
        <v>27</v>
      </c>
      <c r="E21" s="4"/>
      <c r="F21" s="1">
        <f t="shared" si="5"/>
        <v>0.15133278303612252</v>
      </c>
      <c r="G21">
        <f>Definitions!G$16</f>
        <v>2.1710458408319436E-2</v>
      </c>
      <c r="I21" s="6">
        <f t="shared" si="0"/>
        <v>0.17304324144444194</v>
      </c>
      <c r="J21" s="1">
        <f t="shared" ca="1" si="1"/>
        <v>1.0598049326470744</v>
      </c>
      <c r="K21" s="1">
        <f t="shared" ca="1" si="3"/>
        <v>0.18339208084405823</v>
      </c>
      <c r="L21" s="1"/>
    </row>
    <row r="22" spans="2:13" x14ac:dyDescent="0.25">
      <c r="B22" s="4"/>
      <c r="C22" s="4" t="s">
        <v>28</v>
      </c>
      <c r="E22" s="4"/>
      <c r="F22" s="1">
        <f t="shared" si="5"/>
        <v>0.15133278303612252</v>
      </c>
      <c r="G22">
        <f>Definitions!G$17</f>
        <v>8.4805222095781527E-4</v>
      </c>
      <c r="I22" s="6">
        <f t="shared" si="0"/>
        <v>0.15218083525708034</v>
      </c>
      <c r="J22" s="1">
        <f t="shared" ca="1" si="1"/>
        <v>8.1952348372149544</v>
      </c>
      <c r="K22" s="1">
        <f t="shared" ca="1" si="3"/>
        <v>1.2471576826552946</v>
      </c>
      <c r="L22" s="1"/>
      <c r="M22" s="1"/>
    </row>
    <row r="23" spans="2:13" x14ac:dyDescent="0.25">
      <c r="B23" s="4"/>
      <c r="C23" s="4" t="s">
        <v>29</v>
      </c>
      <c r="E23" s="4"/>
      <c r="F23" s="1">
        <f t="shared" si="5"/>
        <v>0.15133278303612252</v>
      </c>
      <c r="G23">
        <f>Definitions!G$18</f>
        <v>0.14734469250135696</v>
      </c>
      <c r="I23" s="6">
        <f t="shared" si="0"/>
        <v>0.29867747553747948</v>
      </c>
      <c r="J23" s="1">
        <f t="shared" ca="1" si="1"/>
        <v>3.9622902103826783</v>
      </c>
      <c r="K23" s="1">
        <f t="shared" ca="1" si="3"/>
        <v>1.1834468373839668</v>
      </c>
    </row>
    <row r="24" spans="2:13" x14ac:dyDescent="0.25">
      <c r="B24" s="4"/>
      <c r="C24" s="4" t="s">
        <v>30</v>
      </c>
      <c r="E24" s="4"/>
      <c r="F24" s="1">
        <f t="shared" si="5"/>
        <v>0.15133278303612252</v>
      </c>
      <c r="G24">
        <f>Definitions!G$19</f>
        <v>5.75556680434896E-3</v>
      </c>
      <c r="I24" s="6">
        <f t="shared" si="0"/>
        <v>0.15708834984047149</v>
      </c>
      <c r="J24" s="1">
        <f t="shared" ca="1" si="1"/>
        <v>2.4029307152172414</v>
      </c>
      <c r="K24" s="1">
        <f t="shared" ca="1" si="3"/>
        <v>0.37747242083446036</v>
      </c>
      <c r="L24" s="1"/>
    </row>
    <row r="25" spans="2:13" x14ac:dyDescent="0.25">
      <c r="B25" s="4"/>
      <c r="C25" s="4" t="s">
        <v>31</v>
      </c>
      <c r="E25" s="4"/>
      <c r="F25" s="1">
        <f t="shared" si="5"/>
        <v>0.15133278303612252</v>
      </c>
      <c r="G25">
        <f>Definitions!G$20</f>
        <v>3.9061921448551362E-2</v>
      </c>
      <c r="I25" s="6">
        <f t="shared" si="0"/>
        <v>0.19039470448467388</v>
      </c>
      <c r="J25" s="1">
        <f t="shared" ca="1" si="1"/>
        <v>5.8736362229696226</v>
      </c>
      <c r="K25" s="1">
        <f t="shared" ca="1" si="3"/>
        <v>1.1183092329227773</v>
      </c>
      <c r="L25" s="1"/>
    </row>
    <row r="26" spans="2:13" x14ac:dyDescent="0.25">
      <c r="B26" s="4" t="s">
        <v>20</v>
      </c>
      <c r="C26" s="4" t="s">
        <v>18</v>
      </c>
      <c r="E26" s="4"/>
      <c r="F26" s="1">
        <f>F$7</f>
        <v>2.2901611221458132E-2</v>
      </c>
      <c r="H26" s="1"/>
      <c r="I26" s="6">
        <f t="shared" ref="I26" si="6">IF(1-(SUM(I27:I32))&lt;0,0,1-(SUM(I27:I32)))</f>
        <v>0.50052494878635978</v>
      </c>
      <c r="J26" s="1">
        <f t="shared" ca="1" si="1"/>
        <v>5.3671469262418974</v>
      </c>
      <c r="K26" s="1">
        <f t="shared" ca="1" si="3"/>
        <v>2.6863909403860942</v>
      </c>
    </row>
    <row r="27" spans="2:13" x14ac:dyDescent="0.25">
      <c r="B27" s="4"/>
      <c r="C27" s="4" t="s">
        <v>26</v>
      </c>
      <c r="E27" s="4"/>
      <c r="F27" s="1">
        <f t="shared" ref="F27:F32" si="7">F$7</f>
        <v>2.2901611221458132E-2</v>
      </c>
      <c r="G27">
        <f>Definitions!G$15</f>
        <v>0.14734469250135696</v>
      </c>
      <c r="I27" s="6">
        <f t="shared" si="0"/>
        <v>0.17024630372281507</v>
      </c>
      <c r="J27" s="1">
        <f t="shared" ca="1" si="1"/>
        <v>7.3638204994428413</v>
      </c>
      <c r="K27" s="1">
        <f t="shared" ca="1" si="3"/>
        <v>1.2536632213084378</v>
      </c>
    </row>
    <row r="28" spans="2:13" x14ac:dyDescent="0.25">
      <c r="B28" s="4"/>
      <c r="C28" s="4" t="s">
        <v>27</v>
      </c>
      <c r="E28" s="4"/>
      <c r="F28" s="1">
        <f t="shared" si="7"/>
        <v>2.2901611221458132E-2</v>
      </c>
      <c r="G28">
        <f>Definitions!G$16</f>
        <v>2.1710458408319436E-2</v>
      </c>
      <c r="I28" s="6">
        <f t="shared" si="0"/>
        <v>4.4612069629777568E-2</v>
      </c>
      <c r="J28" s="1">
        <f t="shared" ca="1" si="1"/>
        <v>4.8285958989570243</v>
      </c>
      <c r="K28" s="1">
        <f t="shared" ca="1" si="3"/>
        <v>0.21541365645832919</v>
      </c>
      <c r="L28" s="1"/>
    </row>
    <row r="29" spans="2:13" x14ac:dyDescent="0.25">
      <c r="B29" s="4"/>
      <c r="C29" s="4" t="s">
        <v>28</v>
      </c>
      <c r="E29" s="4"/>
      <c r="F29" s="1">
        <f t="shared" si="7"/>
        <v>2.2901611221458132E-2</v>
      </c>
      <c r="G29">
        <f>Definitions!G$17</f>
        <v>8.4805222095781527E-4</v>
      </c>
      <c r="I29" s="6">
        <f t="shared" si="0"/>
        <v>2.3749663442415948E-2</v>
      </c>
      <c r="J29" s="1">
        <f t="shared" ca="1" si="1"/>
        <v>-1.5767754795617872</v>
      </c>
      <c r="K29" s="1">
        <f t="shared" ca="1" si="3"/>
        <v>-3.7447886963846454E-2</v>
      </c>
      <c r="L29" s="1"/>
      <c r="M29" s="1"/>
    </row>
    <row r="30" spans="2:13" x14ac:dyDescent="0.25">
      <c r="B30" s="4"/>
      <c r="C30" s="4" t="s">
        <v>29</v>
      </c>
      <c r="E30" s="4"/>
      <c r="F30" s="1">
        <f t="shared" si="7"/>
        <v>2.2901611221458132E-2</v>
      </c>
      <c r="G30">
        <f>Definitions!G$18</f>
        <v>0.14734469250135696</v>
      </c>
      <c r="I30" s="6">
        <f t="shared" si="0"/>
        <v>0.17024630372281507</v>
      </c>
      <c r="J30" s="1">
        <f t="shared" ca="1" si="1"/>
        <v>5.5082118343586295</v>
      </c>
      <c r="K30" s="1">
        <f t="shared" ca="1" si="3"/>
        <v>0.93775270492182361</v>
      </c>
    </row>
    <row r="31" spans="2:13" x14ac:dyDescent="0.25">
      <c r="B31" s="4"/>
      <c r="C31" s="4" t="s">
        <v>30</v>
      </c>
      <c r="E31" s="4"/>
      <c r="F31" s="1">
        <f t="shared" si="7"/>
        <v>2.2901611221458132E-2</v>
      </c>
      <c r="G31">
        <f>Definitions!G$19</f>
        <v>5.75556680434896E-3</v>
      </c>
      <c r="I31" s="6">
        <f t="shared" si="0"/>
        <v>2.8657178025807091E-2</v>
      </c>
      <c r="J31" s="1">
        <f t="shared" ca="1" si="1"/>
        <v>4.5027683993175058</v>
      </c>
      <c r="K31" s="1">
        <f t="shared" ca="1" si="3"/>
        <v>0.12903663562822021</v>
      </c>
      <c r="L31" s="1"/>
    </row>
    <row r="32" spans="2:13" x14ac:dyDescent="0.25">
      <c r="B32" s="4"/>
      <c r="C32" s="4" t="s">
        <v>31</v>
      </c>
      <c r="E32" s="4"/>
      <c r="F32" s="1">
        <f t="shared" si="7"/>
        <v>2.2901611221458132E-2</v>
      </c>
      <c r="G32">
        <f>Definitions!G$20</f>
        <v>3.9061921448551362E-2</v>
      </c>
      <c r="I32" s="6">
        <f t="shared" si="0"/>
        <v>6.1963532670009494E-2</v>
      </c>
      <c r="J32" s="1">
        <f t="shared" ca="1" si="1"/>
        <v>3.8478942659751305</v>
      </c>
      <c r="K32" s="1">
        <f t="shared" ca="1" si="3"/>
        <v>0.23842912206049219</v>
      </c>
    </row>
    <row r="33" spans="2:13" x14ac:dyDescent="0.25">
      <c r="B33" s="4" t="s">
        <v>21</v>
      </c>
      <c r="C33" s="4" t="s">
        <v>18</v>
      </c>
      <c r="E33" s="4"/>
      <c r="F33" s="1">
        <f>F$8</f>
        <v>2.336333815415751E-4</v>
      </c>
      <c r="H33" s="1"/>
      <c r="I33" s="6">
        <f t="shared" ref="I33" si="8">IF(1-(SUM(I34:I39))&lt;0,0,1-(SUM(I34:I39)))</f>
        <v>0.63653281582585897</v>
      </c>
      <c r="J33" s="1">
        <f t="shared" ca="1" si="1"/>
        <v>4.7835678816463529</v>
      </c>
      <c r="K33" s="1">
        <f t="shared" ca="1" si="3"/>
        <v>3.0448979333984925</v>
      </c>
    </row>
    <row r="34" spans="2:13" x14ac:dyDescent="0.25">
      <c r="B34" s="4"/>
      <c r="C34" s="4" t="s">
        <v>26</v>
      </c>
      <c r="E34" s="4"/>
      <c r="F34" s="1">
        <f t="shared" ref="F34:F39" si="9">F$8</f>
        <v>2.336333815415751E-4</v>
      </c>
      <c r="G34">
        <f>Definitions!G$15</f>
        <v>0.14734469250135696</v>
      </c>
      <c r="H34" s="1"/>
      <c r="I34" s="6">
        <f t="shared" si="0"/>
        <v>0.14757832588289854</v>
      </c>
      <c r="J34" s="1">
        <f t="shared" ca="1" si="1"/>
        <v>3.5376164763910354</v>
      </c>
      <c r="K34" s="1">
        <f t="shared" ca="1" si="3"/>
        <v>0.52207551720154743</v>
      </c>
    </row>
    <row r="35" spans="2:13" x14ac:dyDescent="0.25">
      <c r="B35" s="4"/>
      <c r="C35" s="4" t="s">
        <v>27</v>
      </c>
      <c r="E35" s="4"/>
      <c r="F35" s="1">
        <f t="shared" si="9"/>
        <v>2.336333815415751E-4</v>
      </c>
      <c r="G35">
        <f>Definitions!G$16</f>
        <v>2.1710458408319436E-2</v>
      </c>
      <c r="H35" s="1"/>
      <c r="I35" s="6">
        <f t="shared" si="0"/>
        <v>2.1944091789861012E-2</v>
      </c>
      <c r="J35" s="1">
        <f t="shared" ca="1" si="1"/>
        <v>4.2022632968305071</v>
      </c>
      <c r="K35" s="1">
        <f t="shared" ca="1" si="3"/>
        <v>9.2214851510812601E-2</v>
      </c>
      <c r="L35" s="1"/>
    </row>
    <row r="36" spans="2:13" x14ac:dyDescent="0.25">
      <c r="B36" s="4"/>
      <c r="C36" s="4" t="s">
        <v>28</v>
      </c>
      <c r="E36" s="4"/>
      <c r="F36" s="1">
        <f t="shared" si="9"/>
        <v>2.336333815415751E-4</v>
      </c>
      <c r="G36">
        <f>Definitions!G$17</f>
        <v>8.4805222095781527E-4</v>
      </c>
      <c r="H36" s="1"/>
      <c r="I36" s="6">
        <f t="shared" si="0"/>
        <v>1.0816856024993904E-3</v>
      </c>
      <c r="J36" s="1">
        <f t="shared" ca="1" si="1"/>
        <v>2.3054907021658106</v>
      </c>
      <c r="K36" s="1">
        <f t="shared" ca="1" si="3"/>
        <v>2.4938160992289678E-3</v>
      </c>
      <c r="L36" s="1"/>
      <c r="M36" s="1"/>
    </row>
    <row r="37" spans="2:13" x14ac:dyDescent="0.25">
      <c r="B37" s="4"/>
      <c r="C37" s="4" t="s">
        <v>29</v>
      </c>
      <c r="E37" s="4"/>
      <c r="F37" s="1">
        <f t="shared" si="9"/>
        <v>2.336333815415751E-4</v>
      </c>
      <c r="G37">
        <f>Definitions!G$18</f>
        <v>0.14734469250135696</v>
      </c>
      <c r="H37" s="1"/>
      <c r="I37" s="6">
        <f t="shared" si="0"/>
        <v>0.14757832588289854</v>
      </c>
      <c r="J37" s="1">
        <f t="shared" ca="1" si="1"/>
        <v>3.5959104620915845</v>
      </c>
      <c r="K37" s="1">
        <f t="shared" ca="1" si="3"/>
        <v>0.53067844602027614</v>
      </c>
    </row>
    <row r="38" spans="2:13" x14ac:dyDescent="0.25">
      <c r="B38" s="4"/>
      <c r="C38" s="4" t="s">
        <v>30</v>
      </c>
      <c r="E38" s="4"/>
      <c r="F38" s="1">
        <f t="shared" si="9"/>
        <v>2.336333815415751E-4</v>
      </c>
      <c r="G38">
        <f>Definitions!G$19</f>
        <v>5.75556680434896E-3</v>
      </c>
      <c r="H38" s="1"/>
      <c r="I38" s="6">
        <f t="shared" si="0"/>
        <v>5.9892001858905348E-3</v>
      </c>
      <c r="J38" s="1">
        <f t="shared" ca="1" si="1"/>
        <v>4.0067575305543253</v>
      </c>
      <c r="K38" s="1">
        <f t="shared" ca="1" si="3"/>
        <v>2.3997272946814266E-2</v>
      </c>
      <c r="L38" s="1"/>
    </row>
    <row r="39" spans="2:13" x14ac:dyDescent="0.25">
      <c r="B39" s="4"/>
      <c r="C39" s="4" t="s">
        <v>31</v>
      </c>
      <c r="E39" s="4"/>
      <c r="F39" s="1">
        <f t="shared" si="9"/>
        <v>2.336333815415751E-4</v>
      </c>
      <c r="G39">
        <f>Definitions!G$20</f>
        <v>3.9061921448551362E-2</v>
      </c>
      <c r="H39" s="1"/>
      <c r="I39" s="6">
        <f t="shared" si="0"/>
        <v>3.9295554830092935E-2</v>
      </c>
      <c r="J39" s="1">
        <f t="shared" ca="1" si="1"/>
        <v>3.8982619099803015</v>
      </c>
      <c r="K39" s="1">
        <f t="shared" ca="1" si="3"/>
        <v>0.15318436462569374</v>
      </c>
      <c r="L39" s="1"/>
    </row>
    <row r="40" spans="2:13" x14ac:dyDescent="0.25">
      <c r="B40" s="4" t="s">
        <v>22</v>
      </c>
      <c r="C40" s="4" t="s">
        <v>18</v>
      </c>
      <c r="E40" s="4"/>
      <c r="F40" s="1">
        <f>F$9</f>
        <v>0.15133278303612252</v>
      </c>
      <c r="I40" s="6">
        <f t="shared" ref="I40" si="10">IF(1-(SUM(I41:I46))&lt;0,0,1-(SUM(I41:I46)))</f>
        <v>0</v>
      </c>
      <c r="J40" s="1">
        <f t="shared" ca="1" si="1"/>
        <v>4.596301507619339</v>
      </c>
      <c r="K40" s="1">
        <f t="shared" ca="1" si="3"/>
        <v>0</v>
      </c>
    </row>
    <row r="41" spans="2:13" x14ac:dyDescent="0.25">
      <c r="B41" s="4"/>
      <c r="C41" s="4" t="s">
        <v>26</v>
      </c>
      <c r="E41" s="4"/>
      <c r="F41" s="1">
        <f t="shared" ref="F41:F46" si="11">F$9</f>
        <v>0.15133278303612252</v>
      </c>
      <c r="G41">
        <f>Definitions!G$15</f>
        <v>0.14734469250135696</v>
      </c>
      <c r="I41" s="6">
        <f t="shared" si="0"/>
        <v>0.29867747553747948</v>
      </c>
      <c r="J41" s="1">
        <f t="shared" ca="1" si="1"/>
        <v>4.8623817439559698</v>
      </c>
      <c r="K41" s="1">
        <f t="shared" ca="1" si="3"/>
        <v>1.4522839043842959</v>
      </c>
    </row>
    <row r="42" spans="2:13" x14ac:dyDescent="0.25">
      <c r="B42" s="4"/>
      <c r="C42" s="4" t="s">
        <v>27</v>
      </c>
      <c r="E42" s="4"/>
      <c r="F42" s="1">
        <f t="shared" si="11"/>
        <v>0.15133278303612252</v>
      </c>
      <c r="G42">
        <f>Definitions!G$16</f>
        <v>2.1710458408319436E-2</v>
      </c>
      <c r="I42" s="6">
        <f t="shared" si="0"/>
        <v>0.17304324144444194</v>
      </c>
      <c r="J42" s="1">
        <f t="shared" ca="1" si="1"/>
        <v>3.5517356611764366</v>
      </c>
      <c r="K42" s="1">
        <f t="shared" ca="1" si="3"/>
        <v>0.61460385156378872</v>
      </c>
      <c r="L42" s="1"/>
    </row>
    <row r="43" spans="2:13" x14ac:dyDescent="0.25">
      <c r="B43" s="4"/>
      <c r="C43" s="4" t="s">
        <v>28</v>
      </c>
      <c r="E43" s="4"/>
      <c r="F43" s="1">
        <f t="shared" si="11"/>
        <v>0.15133278303612252</v>
      </c>
      <c r="G43">
        <f>Definitions!G$17</f>
        <v>8.4805222095781527E-4</v>
      </c>
      <c r="I43" s="6">
        <f t="shared" si="0"/>
        <v>0.15218083525708034</v>
      </c>
      <c r="J43" s="1">
        <f t="shared" ca="1" si="1"/>
        <v>5.1790810136874228</v>
      </c>
      <c r="K43" s="1">
        <f t="shared" ca="1" si="3"/>
        <v>0.78815687452703831</v>
      </c>
      <c r="L43" s="1"/>
      <c r="M43" s="1"/>
    </row>
    <row r="44" spans="2:13" x14ac:dyDescent="0.25">
      <c r="B44" s="4"/>
      <c r="C44" s="4" t="s">
        <v>29</v>
      </c>
      <c r="E44" s="4"/>
      <c r="F44" s="1">
        <f t="shared" si="11"/>
        <v>0.15133278303612252</v>
      </c>
      <c r="G44">
        <f>Definitions!G$18</f>
        <v>0.14734469250135696</v>
      </c>
      <c r="I44" s="6">
        <f t="shared" si="0"/>
        <v>0.29867747553747948</v>
      </c>
      <c r="J44" s="1">
        <f t="shared" ca="1" si="1"/>
        <v>1.1015170468297537</v>
      </c>
      <c r="K44" s="1">
        <f t="shared" ca="1" si="3"/>
        <v>0.32899833080861041</v>
      </c>
    </row>
    <row r="45" spans="2:13" x14ac:dyDescent="0.25">
      <c r="B45" s="4"/>
      <c r="C45" s="4" t="s">
        <v>30</v>
      </c>
      <c r="E45" s="4"/>
      <c r="F45" s="1">
        <f t="shared" si="11"/>
        <v>0.15133278303612252</v>
      </c>
      <c r="G45">
        <f>Definitions!G$19</f>
        <v>5.75556680434896E-3</v>
      </c>
      <c r="I45" s="6">
        <f t="shared" si="0"/>
        <v>0.15708834984047149</v>
      </c>
      <c r="J45" s="1">
        <f t="shared" ca="1" si="1"/>
        <v>2.5514638871288788</v>
      </c>
      <c r="K45" s="1">
        <f t="shared" ca="1" si="3"/>
        <v>0.40080525170663056</v>
      </c>
      <c r="L45" s="1"/>
    </row>
    <row r="46" spans="2:13" x14ac:dyDescent="0.25">
      <c r="B46" s="4"/>
      <c r="C46" s="4" t="s">
        <v>31</v>
      </c>
      <c r="E46" s="4"/>
      <c r="F46" s="1">
        <f t="shared" si="11"/>
        <v>0.15133278303612252</v>
      </c>
      <c r="G46">
        <f>Definitions!G$20</f>
        <v>3.9061921448551362E-2</v>
      </c>
      <c r="I46" s="6">
        <f t="shared" si="0"/>
        <v>0.19039470448467388</v>
      </c>
      <c r="J46" s="1">
        <f t="shared" ca="1" si="1"/>
        <v>3.6349950340743158</v>
      </c>
      <c r="K46" s="1">
        <f t="shared" ca="1" si="3"/>
        <v>0.69208380531583646</v>
      </c>
    </row>
    <row r="47" spans="2:13" x14ac:dyDescent="0.25">
      <c r="B47" s="4" t="s">
        <v>23</v>
      </c>
      <c r="C47" s="4" t="s">
        <v>18</v>
      </c>
      <c r="E47" s="4"/>
      <c r="F47" s="1">
        <f>F$10</f>
        <v>1.5438385315745349E-3</v>
      </c>
      <c r="I47" s="6">
        <f t="shared" ref="I47" si="12">IF(1-(SUM(I48:I53))&lt;0,0,1-(SUM(I48:I53)))</f>
        <v>0.62867158492566133</v>
      </c>
      <c r="J47" s="1">
        <f t="shared" ca="1" si="1"/>
        <v>1.7069424960052939</v>
      </c>
      <c r="K47" s="1">
        <f t="shared" ca="1" si="3"/>
        <v>1.0731062443406125</v>
      </c>
    </row>
    <row r="48" spans="2:13" x14ac:dyDescent="0.25">
      <c r="B48" s="4"/>
      <c r="C48" s="4" t="s">
        <v>26</v>
      </c>
      <c r="E48" s="4"/>
      <c r="F48" s="1">
        <f t="shared" ref="F48:F53" si="13">F$10</f>
        <v>1.5438385315745349E-3</v>
      </c>
      <c r="G48">
        <f>Definitions!G$15</f>
        <v>0.14734469250135696</v>
      </c>
      <c r="I48" s="6">
        <f t="shared" si="0"/>
        <v>0.14888853103293148</v>
      </c>
      <c r="J48" s="1">
        <f t="shared" ca="1" si="1"/>
        <v>1.7510401576134531</v>
      </c>
      <c r="K48" s="1">
        <f t="shared" ca="1" si="3"/>
        <v>0.26070979684673984</v>
      </c>
    </row>
    <row r="49" spans="1:16" x14ac:dyDescent="0.25">
      <c r="B49" s="4"/>
      <c r="C49" s="4" t="s">
        <v>27</v>
      </c>
      <c r="E49" s="4"/>
      <c r="F49" s="1">
        <f t="shared" si="13"/>
        <v>1.5438385315745349E-3</v>
      </c>
      <c r="G49">
        <f>Definitions!G$16</f>
        <v>2.1710458408319436E-2</v>
      </c>
      <c r="I49" s="6">
        <f t="shared" si="0"/>
        <v>2.3254296939893969E-2</v>
      </c>
      <c r="J49" s="1">
        <f t="shared" ca="1" si="1"/>
        <v>4.2395857932090246</v>
      </c>
      <c r="K49" s="1">
        <f t="shared" ca="1" si="3"/>
        <v>9.8588586937438563E-2</v>
      </c>
      <c r="L49" s="1"/>
    </row>
    <row r="50" spans="1:16" x14ac:dyDescent="0.25">
      <c r="B50" s="4"/>
      <c r="C50" s="4" t="s">
        <v>28</v>
      </c>
      <c r="E50" s="4"/>
      <c r="F50" s="1">
        <f t="shared" si="13"/>
        <v>1.5438385315745349E-3</v>
      </c>
      <c r="G50">
        <f>Definitions!G$17</f>
        <v>8.4805222095781527E-4</v>
      </c>
      <c r="I50" s="6">
        <f t="shared" si="0"/>
        <v>2.3918907525323501E-3</v>
      </c>
      <c r="J50" s="1">
        <f t="shared" ca="1" si="1"/>
        <v>5.3410957400663417</v>
      </c>
      <c r="K50" s="1">
        <f t="shared" ca="1" si="3"/>
        <v>1.2775317509054611E-2</v>
      </c>
      <c r="L50" s="1"/>
      <c r="M50" s="1"/>
    </row>
    <row r="51" spans="1:16" x14ac:dyDescent="0.25">
      <c r="B51" s="4"/>
      <c r="C51" s="4" t="s">
        <v>29</v>
      </c>
      <c r="E51" s="4"/>
      <c r="F51" s="1">
        <f t="shared" si="13"/>
        <v>1.5438385315745349E-3</v>
      </c>
      <c r="G51">
        <f>Definitions!G$18</f>
        <v>0.14734469250135696</v>
      </c>
      <c r="I51" s="6">
        <f t="shared" si="0"/>
        <v>0.14888853103293148</v>
      </c>
      <c r="J51" s="1">
        <f t="shared" ca="1" si="1"/>
        <v>3.8864626297532272</v>
      </c>
      <c r="K51" s="1">
        <f t="shared" ca="1" si="3"/>
        <v>0.57864971185834191</v>
      </c>
    </row>
    <row r="52" spans="1:16" x14ac:dyDescent="0.25">
      <c r="B52" s="4"/>
      <c r="C52" s="4" t="s">
        <v>30</v>
      </c>
      <c r="E52" s="4"/>
      <c r="F52" s="1">
        <f t="shared" si="13"/>
        <v>1.5438385315745349E-3</v>
      </c>
      <c r="G52">
        <f>Definitions!G$19</f>
        <v>5.75556680434896E-3</v>
      </c>
      <c r="I52" s="6">
        <f t="shared" si="0"/>
        <v>7.2994053359234949E-3</v>
      </c>
      <c r="J52" s="1">
        <f t="shared" ca="1" si="1"/>
        <v>1.494097523609704</v>
      </c>
      <c r="K52" s="1">
        <f t="shared" ca="1" si="3"/>
        <v>1.0906023436226753E-2</v>
      </c>
      <c r="L52" s="1"/>
    </row>
    <row r="53" spans="1:16" x14ac:dyDescent="0.25">
      <c r="B53" s="4"/>
      <c r="C53" s="4" t="s">
        <v>31</v>
      </c>
      <c r="E53" s="4"/>
      <c r="F53" s="1">
        <f t="shared" si="13"/>
        <v>1.5438385315745349E-3</v>
      </c>
      <c r="G53">
        <f>Definitions!G$20</f>
        <v>3.9061921448551362E-2</v>
      </c>
      <c r="I53" s="6">
        <f t="shared" si="0"/>
        <v>4.0605759980125895E-2</v>
      </c>
      <c r="J53" s="1">
        <f t="shared" ca="1" si="1"/>
        <v>2.8317195501631303</v>
      </c>
      <c r="K53" s="1">
        <f t="shared" ca="1" si="3"/>
        <v>0.11498412438495413</v>
      </c>
    </row>
    <row r="54" spans="1:16" x14ac:dyDescent="0.25">
      <c r="B54" s="4" t="s">
        <v>24</v>
      </c>
      <c r="C54" s="4" t="s">
        <v>18</v>
      </c>
      <c r="E54" s="4"/>
      <c r="F54" s="1">
        <f>F$11</f>
        <v>1.0201613296215051E-2</v>
      </c>
      <c r="I54" s="6">
        <f t="shared" ref="I54" si="14">IF(1-(SUM(I55:I60))&lt;0,0,1-(SUM(I55:I60)))</f>
        <v>0.57672493633781818</v>
      </c>
      <c r="J54" s="1">
        <f t="shared" ca="1" si="1"/>
        <v>3.8711693275107577</v>
      </c>
      <c r="K54" s="1">
        <f t="shared" ca="1" si="3"/>
        <v>2.232599883961556</v>
      </c>
    </row>
    <row r="55" spans="1:16" x14ac:dyDescent="0.25">
      <c r="B55" s="4"/>
      <c r="C55" s="4" t="s">
        <v>26</v>
      </c>
      <c r="E55" s="4"/>
      <c r="F55" s="1">
        <f t="shared" ref="F55:F60" si="15">F$11</f>
        <v>1.0201613296215051E-2</v>
      </c>
      <c r="G55">
        <f>Definitions!G$15</f>
        <v>0.14734469250135696</v>
      </c>
      <c r="I55" s="6">
        <f t="shared" si="0"/>
        <v>0.15754630579757201</v>
      </c>
      <c r="J55" s="1">
        <f t="shared" ca="1" si="1"/>
        <v>7.5140882312886799</v>
      </c>
      <c r="K55" s="1">
        <f t="shared" ca="1" si="3"/>
        <v>1.1838168422765434</v>
      </c>
    </row>
    <row r="56" spans="1:16" x14ac:dyDescent="0.25">
      <c r="B56" s="4"/>
      <c r="C56" s="4" t="s">
        <v>27</v>
      </c>
      <c r="E56" s="4"/>
      <c r="F56" s="1">
        <f t="shared" si="15"/>
        <v>1.0201613296215051E-2</v>
      </c>
      <c r="G56">
        <f>Definitions!G$16</f>
        <v>2.1710458408319436E-2</v>
      </c>
      <c r="I56" s="6">
        <f t="shared" si="0"/>
        <v>3.1912071704534486E-2</v>
      </c>
      <c r="J56" s="1">
        <f t="shared" ca="1" si="1"/>
        <v>3.4835819680497653</v>
      </c>
      <c r="K56" s="1">
        <f t="shared" ca="1" si="3"/>
        <v>0.11116831755302747</v>
      </c>
      <c r="L56" s="1"/>
    </row>
    <row r="57" spans="1:16" x14ac:dyDescent="0.25">
      <c r="B57" s="4"/>
      <c r="C57" s="4" t="s">
        <v>28</v>
      </c>
      <c r="E57" s="4"/>
      <c r="F57" s="1">
        <f t="shared" si="15"/>
        <v>1.0201613296215051E-2</v>
      </c>
      <c r="G57">
        <f>Definitions!G$17</f>
        <v>8.4805222095781527E-4</v>
      </c>
      <c r="I57" s="6">
        <f t="shared" si="0"/>
        <v>1.1049665517172865E-2</v>
      </c>
      <c r="J57" s="1">
        <f t="shared" ca="1" si="1"/>
        <v>6.6302138369201264</v>
      </c>
      <c r="K57" s="1">
        <f t="shared" ca="1" si="3"/>
        <v>7.3261645205298723E-2</v>
      </c>
      <c r="L57" s="1"/>
      <c r="M57" s="1" t="s">
        <v>8</v>
      </c>
    </row>
    <row r="58" spans="1:16" x14ac:dyDescent="0.25">
      <c r="B58" s="4"/>
      <c r="C58" s="4" t="s">
        <v>29</v>
      </c>
      <c r="E58" s="4"/>
      <c r="F58" s="1">
        <f t="shared" si="15"/>
        <v>1.0201613296215051E-2</v>
      </c>
      <c r="G58">
        <f>Definitions!G$18</f>
        <v>0.14734469250135696</v>
      </c>
      <c r="I58" s="6">
        <f t="shared" si="0"/>
        <v>0.15754630579757201</v>
      </c>
      <c r="J58" s="1">
        <f t="shared" ca="1" si="1"/>
        <v>4.2237232429882674</v>
      </c>
      <c r="K58" s="1">
        <f t="shared" ca="1" si="3"/>
        <v>0.66543199364414207</v>
      </c>
    </row>
    <row r="59" spans="1:16" x14ac:dyDescent="0.25">
      <c r="B59" s="4"/>
      <c r="C59" s="4" t="s">
        <v>30</v>
      </c>
      <c r="E59" s="4"/>
      <c r="F59" s="1">
        <f t="shared" si="15"/>
        <v>1.0201613296215051E-2</v>
      </c>
      <c r="G59">
        <f>Definitions!G$19</f>
        <v>5.75556680434896E-3</v>
      </c>
      <c r="I59" s="6">
        <f t="shared" si="0"/>
        <v>1.595718010056401E-2</v>
      </c>
      <c r="J59" s="1">
        <f t="shared" ca="1" si="1"/>
        <v>2.3167525773120552</v>
      </c>
      <c r="K59" s="1">
        <f t="shared" ca="1" si="3"/>
        <v>3.6968838124614309E-2</v>
      </c>
      <c r="L59" s="1"/>
    </row>
    <row r="60" spans="1:16" x14ac:dyDescent="0.25">
      <c r="B60" s="4"/>
      <c r="C60" s="4" t="s">
        <v>31</v>
      </c>
      <c r="E60" s="4"/>
      <c r="F60" s="1">
        <f t="shared" si="15"/>
        <v>1.0201613296215051E-2</v>
      </c>
      <c r="G60">
        <f>Definitions!G$20</f>
        <v>3.9061921448551362E-2</v>
      </c>
      <c r="I60" s="6">
        <f t="shared" si="0"/>
        <v>4.9263534744766413E-2</v>
      </c>
      <c r="J60" s="1">
        <f t="shared" ca="1" si="1"/>
        <v>4.8000007655475283</v>
      </c>
      <c r="K60" s="1">
        <f t="shared" ca="1" si="3"/>
        <v>0.23646500448845603</v>
      </c>
    </row>
    <row r="61" spans="1:16" x14ac:dyDescent="0.25">
      <c r="A61" t="s">
        <v>13</v>
      </c>
      <c r="B61" s="4" t="s">
        <v>17</v>
      </c>
      <c r="C61" s="4" t="s">
        <v>18</v>
      </c>
      <c r="D61" s="4" t="s">
        <v>19</v>
      </c>
      <c r="F61" s="1"/>
      <c r="I61" s="6">
        <f>IF(1-(SUM(I62:I71))&lt;0,0,1-(SUM(I62:I71)))</f>
        <v>0.96555001271166596</v>
      </c>
      <c r="J61" s="1">
        <f ca="1">_xlfn.NORM.INV(RAND(),4,2)</f>
        <v>3.9071059795071066</v>
      </c>
      <c r="K61" s="1">
        <f ca="1">I61*J61</f>
        <v>3.772506228178913</v>
      </c>
      <c r="N61" s="1"/>
    </row>
    <row r="62" spans="1:16" x14ac:dyDescent="0.25">
      <c r="B62" s="4"/>
      <c r="C62" s="4"/>
      <c r="D62" s="4" t="s">
        <v>32</v>
      </c>
      <c r="F62" s="1"/>
      <c r="H62">
        <f>Definitions!G$25</f>
        <v>8.557262120117759E-3</v>
      </c>
      <c r="I62" s="6">
        <f t="shared" si="0"/>
        <v>8.557262120117759E-3</v>
      </c>
      <c r="J62" s="1">
        <f ca="1">_xlfn.NORM.INV(RAND(),4,2)</f>
        <v>0.28653517167982612</v>
      </c>
      <c r="K62" s="1">
        <f t="shared" ref="K62:K125" ca="1" si="16">I62*J62</f>
        <v>2.4519565706972151E-3</v>
      </c>
      <c r="N62" s="1"/>
    </row>
    <row r="63" spans="1:16" x14ac:dyDescent="0.25">
      <c r="B63" s="4"/>
      <c r="C63" s="4"/>
      <c r="D63" s="4" t="s">
        <v>25</v>
      </c>
      <c r="F63" s="1"/>
      <c r="H63">
        <f>Definitions!G$26</f>
        <v>7.3226734992402288E-5</v>
      </c>
      <c r="I63" s="6">
        <f t="shared" si="0"/>
        <v>7.3226734992402288E-5</v>
      </c>
      <c r="J63" s="1">
        <f t="shared" ref="J63:J126" ca="1" si="17">_xlfn.NORM.INV(RAND(),4,2)</f>
        <v>6.1493310209502372</v>
      </c>
      <c r="K63" s="1">
        <f t="shared" ca="1" si="16"/>
        <v>4.5029543305168162E-4</v>
      </c>
      <c r="L63" s="1"/>
      <c r="N63" s="1"/>
      <c r="O63" s="1"/>
    </row>
    <row r="64" spans="1:16" x14ac:dyDescent="0.25">
      <c r="B64" s="4"/>
      <c r="C64" s="4"/>
      <c r="D64" s="4" t="s">
        <v>33</v>
      </c>
      <c r="F64" s="1"/>
      <c r="H64">
        <f>Definitions!G$27</f>
        <v>6.266203655303857E-7</v>
      </c>
      <c r="I64" s="6">
        <f t="shared" si="0"/>
        <v>6.266203655303857E-7</v>
      </c>
      <c r="J64" s="1">
        <f t="shared" ca="1" si="17"/>
        <v>3.962485659068665</v>
      </c>
      <c r="K64" s="1">
        <f t="shared" ca="1" si="16"/>
        <v>2.4829742120945181E-6</v>
      </c>
      <c r="L64" s="1"/>
      <c r="M64" s="1"/>
      <c r="N64" s="1"/>
      <c r="O64" s="1"/>
      <c r="P64" s="1"/>
    </row>
    <row r="65" spans="2:17" x14ac:dyDescent="0.25">
      <c r="B65" s="4"/>
      <c r="C65" s="4"/>
      <c r="D65" s="4" t="s">
        <v>34</v>
      </c>
      <c r="F65" s="1"/>
      <c r="H65">
        <f>Definitions!G$28</f>
        <v>5.3621547176475137E-9</v>
      </c>
      <c r="I65" s="6">
        <f t="shared" si="0"/>
        <v>5.3621547176475137E-9</v>
      </c>
      <c r="J65" s="1">
        <f t="shared" ca="1" si="17"/>
        <v>2.4515578029933218</v>
      </c>
      <c r="K65" s="1">
        <f t="shared" ca="1" si="16"/>
        <v>1.3145632238906214E-8</v>
      </c>
      <c r="N65" s="1"/>
      <c r="O65" s="1"/>
      <c r="P65" s="1"/>
      <c r="Q65" s="1"/>
    </row>
    <row r="66" spans="2:17" x14ac:dyDescent="0.25">
      <c r="B66" s="4"/>
      <c r="C66" s="4"/>
      <c r="D66" s="4" t="s">
        <v>35</v>
      </c>
      <c r="F66" s="1"/>
      <c r="H66">
        <f>Definitions!G$29</f>
        <v>8.557262120117759E-3</v>
      </c>
      <c r="I66" s="6">
        <f t="shared" si="0"/>
        <v>8.557262120117759E-3</v>
      </c>
      <c r="J66" s="1">
        <f t="shared" ca="1" si="17"/>
        <v>4.236577661185537</v>
      </c>
      <c r="K66" s="1">
        <f t="shared" ca="1" si="16"/>
        <v>3.6253505539000086E-2</v>
      </c>
      <c r="L66" s="1"/>
      <c r="N66" s="1"/>
    </row>
    <row r="67" spans="2:17" x14ac:dyDescent="0.25">
      <c r="B67" s="4"/>
      <c r="C67" s="4"/>
      <c r="D67" s="4" t="s">
        <v>36</v>
      </c>
      <c r="F67" s="1"/>
      <c r="H67">
        <f>Definitions!G$30</f>
        <v>7.3226734992402288E-5</v>
      </c>
      <c r="I67" s="6">
        <f t="shared" si="0"/>
        <v>7.3226734992402288E-5</v>
      </c>
      <c r="J67" s="1">
        <f t="shared" ca="1" si="17"/>
        <v>6.7468865035600807</v>
      </c>
      <c r="K67" s="1">
        <f t="shared" ca="1" si="16"/>
        <v>4.9405247002000971E-4</v>
      </c>
      <c r="N67" s="1"/>
      <c r="O67" s="1"/>
    </row>
    <row r="68" spans="2:17" x14ac:dyDescent="0.25">
      <c r="B68" s="4"/>
      <c r="C68" s="4"/>
      <c r="D68" s="4" t="s">
        <v>37</v>
      </c>
      <c r="F68" s="1"/>
      <c r="H68">
        <f>Definitions!G$31</f>
        <v>6.266203655303857E-7</v>
      </c>
      <c r="I68" s="6">
        <f t="shared" si="0"/>
        <v>6.266203655303857E-7</v>
      </c>
      <c r="J68" s="1">
        <f t="shared" ca="1" si="17"/>
        <v>-0.25987360681840688</v>
      </c>
      <c r="K68" s="1">
        <f t="shared" ca="1" si="16"/>
        <v>-1.6284209449624986E-7</v>
      </c>
      <c r="N68" s="1"/>
      <c r="O68" s="1"/>
      <c r="P68" s="1"/>
    </row>
    <row r="69" spans="2:17" x14ac:dyDescent="0.25">
      <c r="B69" s="4"/>
      <c r="C69" s="4"/>
      <c r="D69" s="4" t="s">
        <v>38</v>
      </c>
      <c r="F69" s="1"/>
      <c r="H69">
        <f>Definitions!G$32</f>
        <v>8.557262120117759E-3</v>
      </c>
      <c r="I69" s="6">
        <f t="shared" ref="I69:I132" si="18">SUM(F69+G69+H69)</f>
        <v>8.557262120117759E-3</v>
      </c>
      <c r="J69" s="1">
        <f t="shared" ca="1" si="17"/>
        <v>5.9302605132910777</v>
      </c>
      <c r="K69" s="1">
        <f t="shared" ca="1" si="16"/>
        <v>5.0746793652815834E-2</v>
      </c>
      <c r="L69" s="1"/>
      <c r="N69" s="1"/>
    </row>
    <row r="70" spans="2:17" x14ac:dyDescent="0.25">
      <c r="B70" s="4"/>
      <c r="C70" s="4"/>
      <c r="D70" s="4" t="s">
        <v>39</v>
      </c>
      <c r="F70" s="1"/>
      <c r="H70">
        <f>Definitions!G$33</f>
        <v>7.3226734992402288E-5</v>
      </c>
      <c r="I70" s="6">
        <f t="shared" si="18"/>
        <v>7.3226734992402288E-5</v>
      </c>
      <c r="J70" s="1">
        <f t="shared" ca="1" si="17"/>
        <v>6.0960194886944503</v>
      </c>
      <c r="K70" s="1">
        <f t="shared" ca="1" si="16"/>
        <v>4.4639160360714818E-4</v>
      </c>
      <c r="L70" s="1"/>
      <c r="M70" s="1"/>
      <c r="N70" s="1"/>
      <c r="O70" s="1"/>
    </row>
    <row r="71" spans="2:17" x14ac:dyDescent="0.25">
      <c r="B71" s="4"/>
      <c r="C71" s="4"/>
      <c r="D71" s="4" t="s">
        <v>40</v>
      </c>
      <c r="F71" s="1"/>
      <c r="H71">
        <f>Definitions!G$34</f>
        <v>8.557262120117759E-3</v>
      </c>
      <c r="I71" s="6">
        <f t="shared" si="18"/>
        <v>8.557262120117759E-3</v>
      </c>
      <c r="J71" s="1">
        <f t="shared" ca="1" si="17"/>
        <v>6.3508073102323319</v>
      </c>
      <c r="K71" s="1">
        <f t="shared" ca="1" si="16"/>
        <v>5.4345522828018085E-2</v>
      </c>
      <c r="N71" s="1"/>
    </row>
    <row r="72" spans="2:17" x14ac:dyDescent="0.25">
      <c r="B72" s="4"/>
      <c r="C72" s="4" t="s">
        <v>26</v>
      </c>
      <c r="D72" s="4" t="s">
        <v>19</v>
      </c>
      <c r="F72" s="1"/>
      <c r="G72">
        <f>Definitions!G$15</f>
        <v>0.14734469250135696</v>
      </c>
      <c r="I72" s="6">
        <f t="shared" ref="I72" si="19">IF(1-(SUM(I73:I82))&lt;0,0,1-(SUM(I73:I82)))</f>
        <v>0</v>
      </c>
      <c r="J72" s="1">
        <f t="shared" ca="1" si="17"/>
        <v>1.0183465711325002</v>
      </c>
      <c r="K72" s="1">
        <f t="shared" ca="1" si="16"/>
        <v>0</v>
      </c>
      <c r="N72" s="1"/>
    </row>
    <row r="73" spans="2:17" x14ac:dyDescent="0.25">
      <c r="D73" s="4" t="s">
        <v>32</v>
      </c>
      <c r="F73" s="1"/>
      <c r="G73">
        <f>Definitions!G$15</f>
        <v>0.14734469250135696</v>
      </c>
      <c r="H73">
        <f>Definitions!G$25</f>
        <v>8.557262120117759E-3</v>
      </c>
      <c r="I73" s="6">
        <f t="shared" ref="I73:I136" si="20">SUM(F73+G73+H73)</f>
        <v>0.15590195462147471</v>
      </c>
      <c r="J73" s="1">
        <f t="shared" ca="1" si="17"/>
        <v>1.4862487972615002</v>
      </c>
      <c r="K73" s="1">
        <f t="shared" ca="1" si="16"/>
        <v>0.23170909254688377</v>
      </c>
      <c r="N73" s="1"/>
    </row>
    <row r="74" spans="2:17" x14ac:dyDescent="0.25">
      <c r="D74" s="4" t="s">
        <v>25</v>
      </c>
      <c r="F74" s="1"/>
      <c r="G74">
        <f>Definitions!G$15</f>
        <v>0.14734469250135696</v>
      </c>
      <c r="H74">
        <f>Definitions!G$26</f>
        <v>7.3226734992402288E-5</v>
      </c>
      <c r="I74" s="6">
        <f t="shared" si="20"/>
        <v>0.14741791923634937</v>
      </c>
      <c r="J74" s="1">
        <f t="shared" ca="1" si="17"/>
        <v>3.2700989156703311</v>
      </c>
      <c r="K74" s="1">
        <f t="shared" ca="1" si="16"/>
        <v>0.48207117784516251</v>
      </c>
      <c r="N74" s="1"/>
      <c r="O74" s="1"/>
    </row>
    <row r="75" spans="2:17" x14ac:dyDescent="0.25">
      <c r="D75" s="4" t="s">
        <v>33</v>
      </c>
      <c r="F75" s="1"/>
      <c r="G75">
        <f>Definitions!G$15</f>
        <v>0.14734469250135696</v>
      </c>
      <c r="H75">
        <f>Definitions!G$27</f>
        <v>6.266203655303857E-7</v>
      </c>
      <c r="I75" s="6">
        <f t="shared" si="20"/>
        <v>0.1473453191217225</v>
      </c>
      <c r="J75" s="1">
        <f t="shared" ca="1" si="17"/>
        <v>3.4963802091272846</v>
      </c>
      <c r="K75" s="1">
        <f t="shared" ca="1" si="16"/>
        <v>0.5151752576847346</v>
      </c>
      <c r="L75" s="1"/>
      <c r="N75" s="1"/>
      <c r="O75" s="1"/>
      <c r="P75" s="1"/>
    </row>
    <row r="76" spans="2:17" x14ac:dyDescent="0.25">
      <c r="D76" s="4" t="s">
        <v>34</v>
      </c>
      <c r="F76" s="1"/>
      <c r="G76">
        <f>Definitions!G$15</f>
        <v>0.14734469250135696</v>
      </c>
      <c r="H76">
        <f>Definitions!G$28</f>
        <v>5.3621547176475137E-9</v>
      </c>
      <c r="I76" s="6">
        <f t="shared" si="20"/>
        <v>0.14734469786351168</v>
      </c>
      <c r="J76" s="1">
        <f t="shared" ca="1" si="17"/>
        <v>6.8755484417760027</v>
      </c>
      <c r="K76" s="1">
        <f t="shared" ca="1" si="16"/>
        <v>1.0130756077994236</v>
      </c>
      <c r="L76" s="1"/>
      <c r="M76" s="1"/>
      <c r="N76" s="1"/>
      <c r="O76" s="1"/>
      <c r="P76" s="1"/>
      <c r="Q76" s="1"/>
    </row>
    <row r="77" spans="2:17" x14ac:dyDescent="0.25">
      <c r="D77" s="4" t="s">
        <v>35</v>
      </c>
      <c r="F77" s="1"/>
      <c r="G77">
        <f>Definitions!G$15</f>
        <v>0.14734469250135696</v>
      </c>
      <c r="H77">
        <f>Definitions!G$29</f>
        <v>8.557262120117759E-3</v>
      </c>
      <c r="I77" s="6">
        <f t="shared" si="20"/>
        <v>0.15590195462147471</v>
      </c>
      <c r="J77" s="1">
        <f t="shared" ca="1" si="17"/>
        <v>1.9169470357555043</v>
      </c>
      <c r="K77" s="1">
        <f t="shared" ca="1" si="16"/>
        <v>0.29885578978012511</v>
      </c>
      <c r="N77" s="1"/>
    </row>
    <row r="78" spans="2:17" x14ac:dyDescent="0.25">
      <c r="D78" s="4" t="s">
        <v>36</v>
      </c>
      <c r="F78" s="1"/>
      <c r="G78">
        <f>Definitions!G$15</f>
        <v>0.14734469250135696</v>
      </c>
      <c r="H78">
        <f>Definitions!G$30</f>
        <v>7.3226734992402288E-5</v>
      </c>
      <c r="I78" s="6">
        <f t="shared" si="20"/>
        <v>0.14741791923634937</v>
      </c>
      <c r="J78" s="1">
        <f t="shared" ca="1" si="17"/>
        <v>3.3968143452099238</v>
      </c>
      <c r="K78" s="1">
        <f t="shared" ca="1" si="16"/>
        <v>0.50075130280302949</v>
      </c>
      <c r="L78" s="1"/>
      <c r="N78" s="1"/>
      <c r="O78" s="1"/>
    </row>
    <row r="79" spans="2:17" x14ac:dyDescent="0.25">
      <c r="D79" s="4" t="s">
        <v>37</v>
      </c>
      <c r="F79" s="1"/>
      <c r="G79">
        <f>Definitions!G$15</f>
        <v>0.14734469250135696</v>
      </c>
      <c r="H79">
        <f>Definitions!G$31</f>
        <v>6.266203655303857E-7</v>
      </c>
      <c r="I79" s="6">
        <f t="shared" si="20"/>
        <v>0.1473453191217225</v>
      </c>
      <c r="J79" s="1">
        <f t="shared" ca="1" si="17"/>
        <v>5.2519839140214772</v>
      </c>
      <c r="K79" s="1">
        <f t="shared" ca="1" si="16"/>
        <v>0.77385524583364773</v>
      </c>
      <c r="N79" s="1"/>
      <c r="O79" s="1"/>
      <c r="P79" s="1"/>
    </row>
    <row r="80" spans="2:17" x14ac:dyDescent="0.25">
      <c r="D80" s="4" t="s">
        <v>38</v>
      </c>
      <c r="F80" s="1"/>
      <c r="G80">
        <f>Definitions!G$15</f>
        <v>0.14734469250135696</v>
      </c>
      <c r="H80">
        <f>Definitions!G$32</f>
        <v>8.557262120117759E-3</v>
      </c>
      <c r="I80" s="6">
        <f t="shared" si="18"/>
        <v>0.15590195462147471</v>
      </c>
      <c r="J80" s="1">
        <f t="shared" ca="1" si="17"/>
        <v>5.8640703946071957</v>
      </c>
      <c r="K80" s="1">
        <f t="shared" ca="1" si="16"/>
        <v>0.91422003655718431</v>
      </c>
      <c r="N80" s="1"/>
    </row>
    <row r="81" spans="2:15" x14ac:dyDescent="0.25">
      <c r="D81" s="4" t="s">
        <v>39</v>
      </c>
      <c r="F81" s="1"/>
      <c r="G81">
        <f>Definitions!G$15</f>
        <v>0.14734469250135696</v>
      </c>
      <c r="H81">
        <f>Definitions!G$33</f>
        <v>7.3226734992402288E-5</v>
      </c>
      <c r="I81" s="6">
        <f t="shared" si="18"/>
        <v>0.14741791923634937</v>
      </c>
      <c r="J81" s="1">
        <f t="shared" ca="1" si="17"/>
        <v>8.5282494025708786</v>
      </c>
      <c r="K81" s="1">
        <f t="shared" ca="1" si="16"/>
        <v>1.2572167816556385</v>
      </c>
      <c r="L81" s="1"/>
      <c r="N81" s="1"/>
      <c r="O81" s="1"/>
    </row>
    <row r="82" spans="2:15" x14ac:dyDescent="0.25">
      <c r="D82" s="4" t="s">
        <v>40</v>
      </c>
      <c r="F82" s="1"/>
      <c r="G82">
        <f>Definitions!G$15</f>
        <v>0.14734469250135696</v>
      </c>
      <c r="H82">
        <f>Definitions!G$34</f>
        <v>8.557262120117759E-3</v>
      </c>
      <c r="I82" s="6">
        <f t="shared" si="18"/>
        <v>0.15590195462147471</v>
      </c>
      <c r="J82" s="1">
        <f t="shared" ca="1" si="17"/>
        <v>2.8790718171393497</v>
      </c>
      <c r="K82" s="1">
        <f t="shared" ca="1" si="16"/>
        <v>0.44885292378762565</v>
      </c>
      <c r="L82" s="1"/>
      <c r="M82" s="1"/>
      <c r="N82" s="1"/>
    </row>
    <row r="83" spans="2:15" x14ac:dyDescent="0.25">
      <c r="B83" s="4"/>
      <c r="C83" s="4" t="s">
        <v>27</v>
      </c>
      <c r="D83" s="4" t="s">
        <v>19</v>
      </c>
      <c r="F83" s="1"/>
      <c r="G83">
        <f>Definitions!G$16</f>
        <v>2.1710458408319436E-2</v>
      </c>
      <c r="I83" s="6">
        <f t="shared" ref="I83" si="21">IF(1-(SUM(I84:I93))&lt;0,0,1-(SUM(I84:I93)))</f>
        <v>0.74844542862847163</v>
      </c>
      <c r="J83" s="1">
        <f t="shared" ca="1" si="17"/>
        <v>7.2742327982738413</v>
      </c>
      <c r="K83" s="1">
        <f t="shared" ca="1" si="16"/>
        <v>5.4443662846473515</v>
      </c>
    </row>
    <row r="84" spans="2:15" x14ac:dyDescent="0.25">
      <c r="D84" s="4" t="s">
        <v>32</v>
      </c>
      <c r="F84" s="1"/>
      <c r="G84">
        <f>Definitions!G$16</f>
        <v>2.1710458408319436E-2</v>
      </c>
      <c r="H84">
        <f>Definitions!G$25</f>
        <v>8.557262120117759E-3</v>
      </c>
      <c r="I84" s="6">
        <f t="shared" si="20"/>
        <v>3.0267720528437195E-2</v>
      </c>
      <c r="J84" s="1">
        <f t="shared" ca="1" si="17"/>
        <v>4.0256522046901582</v>
      </c>
      <c r="K84" s="1">
        <f t="shared" ca="1" si="16"/>
        <v>0.12184731587624875</v>
      </c>
      <c r="L84" s="1"/>
      <c r="N84" s="1" t="s">
        <v>15</v>
      </c>
    </row>
    <row r="85" spans="2:15" x14ac:dyDescent="0.25">
      <c r="D85" s="4" t="s">
        <v>25</v>
      </c>
      <c r="F85" s="2"/>
      <c r="G85">
        <f>Definitions!G$16</f>
        <v>2.1710458408319436E-2</v>
      </c>
      <c r="H85">
        <f>Definitions!G$26</f>
        <v>7.3226734992402288E-5</v>
      </c>
      <c r="I85" s="6">
        <f t="shared" si="20"/>
        <v>2.1783685143311839E-2</v>
      </c>
      <c r="J85" s="1">
        <f t="shared" ca="1" si="17"/>
        <v>5.2206401372637306</v>
      </c>
      <c r="K85" s="1">
        <f t="shared" ca="1" si="16"/>
        <v>0.11372478099668941</v>
      </c>
    </row>
    <row r="86" spans="2:15" x14ac:dyDescent="0.25">
      <c r="D86" s="4" t="s">
        <v>33</v>
      </c>
      <c r="F86" s="1"/>
      <c r="G86">
        <f>Definitions!G$16</f>
        <v>2.1710458408319436E-2</v>
      </c>
      <c r="H86">
        <f>Definitions!G$27</f>
        <v>6.266203655303857E-7</v>
      </c>
      <c r="I86" s="6">
        <f t="shared" si="20"/>
        <v>2.1711085028684966E-2</v>
      </c>
      <c r="J86" s="1">
        <f t="shared" ca="1" si="17"/>
        <v>3.2052166799252579</v>
      </c>
      <c r="K86" s="1">
        <f t="shared" ca="1" si="16"/>
        <v>6.9588731873216597E-2</v>
      </c>
    </row>
    <row r="87" spans="2:15" x14ac:dyDescent="0.25">
      <c r="D87" s="4" t="s">
        <v>34</v>
      </c>
      <c r="F87" s="1"/>
      <c r="G87">
        <f>Definitions!G$16</f>
        <v>2.1710458408319436E-2</v>
      </c>
      <c r="H87">
        <f>Definitions!G$28</f>
        <v>5.3621547176475137E-9</v>
      </c>
      <c r="I87" s="6">
        <f t="shared" si="20"/>
        <v>2.1710463770474153E-2</v>
      </c>
      <c r="J87" s="1">
        <f t="shared" ca="1" si="17"/>
        <v>2.0354269478027538</v>
      </c>
      <c r="K87" s="1">
        <f t="shared" ca="1" si="16"/>
        <v>4.4190063007718473E-2</v>
      </c>
      <c r="L87" s="1"/>
    </row>
    <row r="88" spans="2:15" x14ac:dyDescent="0.25">
      <c r="D88" s="4" t="s">
        <v>35</v>
      </c>
      <c r="F88" s="1"/>
      <c r="G88">
        <f>Definitions!G$16</f>
        <v>2.1710458408319436E-2</v>
      </c>
      <c r="H88">
        <f>Definitions!G$29</f>
        <v>8.557262120117759E-3</v>
      </c>
      <c r="I88" s="6">
        <f t="shared" si="20"/>
        <v>3.0267720528437195E-2</v>
      </c>
      <c r="J88" s="1">
        <f t="shared" ca="1" si="17"/>
        <v>3.3119929841190654</v>
      </c>
      <c r="K88" s="1">
        <f t="shared" ca="1" si="16"/>
        <v>0.10024647803546059</v>
      </c>
      <c r="L88" s="1"/>
      <c r="M88" s="1"/>
    </row>
    <row r="89" spans="2:15" x14ac:dyDescent="0.25">
      <c r="D89" s="4" t="s">
        <v>36</v>
      </c>
      <c r="F89" s="1"/>
      <c r="G89">
        <f>Definitions!G$16</f>
        <v>2.1710458408319436E-2</v>
      </c>
      <c r="H89">
        <f>Definitions!G$30</f>
        <v>7.3226734992402288E-5</v>
      </c>
      <c r="I89" s="6">
        <f t="shared" si="20"/>
        <v>2.1783685143311839E-2</v>
      </c>
      <c r="J89" s="1">
        <f t="shared" ca="1" si="17"/>
        <v>4.1953682254553053</v>
      </c>
      <c r="K89" s="1">
        <f t="shared" ca="1" si="16"/>
        <v>9.1390580483573292E-2</v>
      </c>
    </row>
    <row r="90" spans="2:15" x14ac:dyDescent="0.25">
      <c r="D90" s="4" t="s">
        <v>37</v>
      </c>
      <c r="F90" s="1"/>
      <c r="G90">
        <f>Definitions!G$16</f>
        <v>2.1710458408319436E-2</v>
      </c>
      <c r="H90">
        <f>Definitions!G$31</f>
        <v>6.266203655303857E-7</v>
      </c>
      <c r="I90" s="6">
        <f t="shared" si="20"/>
        <v>2.1711085028684966E-2</v>
      </c>
      <c r="J90" s="1">
        <f t="shared" ca="1" si="17"/>
        <v>5.0534491403735382</v>
      </c>
      <c r="K90" s="1">
        <f t="shared" ca="1" si="16"/>
        <v>0.10971586397478483</v>
      </c>
      <c r="L90" s="1"/>
    </row>
    <row r="91" spans="2:15" x14ac:dyDescent="0.25">
      <c r="D91" s="4" t="s">
        <v>38</v>
      </c>
      <c r="F91" s="1"/>
      <c r="G91">
        <f>Definitions!G$16</f>
        <v>2.1710458408319436E-2</v>
      </c>
      <c r="H91">
        <f>Definitions!G$32</f>
        <v>8.557262120117759E-3</v>
      </c>
      <c r="I91" s="6">
        <f t="shared" si="18"/>
        <v>3.0267720528437195E-2</v>
      </c>
      <c r="J91" s="1">
        <f t="shared" ca="1" si="17"/>
        <v>4.6891823512241464</v>
      </c>
      <c r="K91" s="1">
        <f t="shared" ca="1" si="16"/>
        <v>0.1419308609137325</v>
      </c>
    </row>
    <row r="92" spans="2:15" x14ac:dyDescent="0.25">
      <c r="D92" s="4" t="s">
        <v>39</v>
      </c>
      <c r="F92" s="1"/>
      <c r="G92">
        <f>Definitions!G$16</f>
        <v>2.1710458408319436E-2</v>
      </c>
      <c r="H92">
        <f>Definitions!G$33</f>
        <v>7.3226734992402288E-5</v>
      </c>
      <c r="I92" s="6">
        <f t="shared" si="18"/>
        <v>2.1783685143311839E-2</v>
      </c>
      <c r="J92" s="1">
        <f t="shared" ca="1" si="17"/>
        <v>5.3366891016688047</v>
      </c>
      <c r="K92" s="1">
        <f t="shared" ca="1" si="16"/>
        <v>0.11625275509849695</v>
      </c>
    </row>
    <row r="93" spans="2:15" x14ac:dyDescent="0.25">
      <c r="D93" s="4" t="s">
        <v>40</v>
      </c>
      <c r="F93" s="1"/>
      <c r="G93">
        <f>Definitions!G$16</f>
        <v>2.1710458408319436E-2</v>
      </c>
      <c r="H93">
        <f>Definitions!G$34</f>
        <v>8.557262120117759E-3</v>
      </c>
      <c r="I93" s="6">
        <f t="shared" si="18"/>
        <v>3.0267720528437195E-2</v>
      </c>
      <c r="J93" s="1">
        <f t="shared" ca="1" si="17"/>
        <v>3.0372968811684995</v>
      </c>
      <c r="K93" s="1">
        <f t="shared" ca="1" si="16"/>
        <v>9.1932053161102062E-2</v>
      </c>
      <c r="L93" s="1"/>
    </row>
    <row r="94" spans="2:15" x14ac:dyDescent="0.25">
      <c r="B94" s="4"/>
      <c r="C94" s="4" t="s">
        <v>28</v>
      </c>
      <c r="D94" s="4" t="s">
        <v>19</v>
      </c>
      <c r="F94" s="1"/>
      <c r="G94">
        <f>Definitions!G$17</f>
        <v>8.4805222095781527E-4</v>
      </c>
      <c r="I94" s="6">
        <f t="shared" ref="I94" si="22">IF(1-(SUM(I95:I104))&lt;0,0,1-(SUM(I95:I104)))</f>
        <v>0.95706949050208778</v>
      </c>
      <c r="J94" s="1">
        <f t="shared" ca="1" si="17"/>
        <v>4.8363392645708689</v>
      </c>
      <c r="K94" s="1">
        <f t="shared" ca="1" si="16"/>
        <v>4.6287127558380838</v>
      </c>
      <c r="L94" s="1"/>
      <c r="M94" s="1"/>
    </row>
    <row r="95" spans="2:15" x14ac:dyDescent="0.25">
      <c r="D95" s="4" t="s">
        <v>32</v>
      </c>
      <c r="F95" s="1"/>
      <c r="G95">
        <f>Definitions!G$17</f>
        <v>8.4805222095781527E-4</v>
      </c>
      <c r="H95">
        <f>Definitions!G$25</f>
        <v>8.557262120117759E-3</v>
      </c>
      <c r="I95" s="6">
        <f t="shared" si="20"/>
        <v>9.4053143410755737E-3</v>
      </c>
      <c r="J95" s="1">
        <f t="shared" ca="1" si="17"/>
        <v>4.6164481253588541</v>
      </c>
      <c r="K95" s="1">
        <f t="shared" ca="1" si="16"/>
        <v>4.3419145758269079E-2</v>
      </c>
    </row>
    <row r="96" spans="2:15" x14ac:dyDescent="0.25">
      <c r="D96" s="4" t="s">
        <v>25</v>
      </c>
      <c r="F96" s="1"/>
      <c r="G96">
        <f>Definitions!G$17</f>
        <v>8.4805222095781527E-4</v>
      </c>
      <c r="H96">
        <f>Definitions!G$26</f>
        <v>7.3226734992402288E-5</v>
      </c>
      <c r="I96" s="6">
        <f t="shared" si="20"/>
        <v>9.2127895595021752E-4</v>
      </c>
      <c r="J96" s="1">
        <f t="shared" ca="1" si="17"/>
        <v>4.7715811693619612</v>
      </c>
      <c r="K96" s="1">
        <f t="shared" ca="1" si="16"/>
        <v>4.3959573179415054E-3</v>
      </c>
      <c r="L96" s="1"/>
    </row>
    <row r="97" spans="2:11" x14ac:dyDescent="0.25">
      <c r="D97" s="4" t="s">
        <v>33</v>
      </c>
      <c r="F97" s="1"/>
      <c r="G97">
        <f>Definitions!G$17</f>
        <v>8.4805222095781527E-4</v>
      </c>
      <c r="H97">
        <f>Definitions!G$27</f>
        <v>6.266203655303857E-7</v>
      </c>
      <c r="I97" s="6">
        <f t="shared" si="20"/>
        <v>8.4867884132334569E-4</v>
      </c>
      <c r="J97" s="1">
        <f t="shared" ca="1" si="17"/>
        <v>4.3672942059239768</v>
      </c>
      <c r="K97" s="1">
        <f t="shared" ca="1" si="16"/>
        <v>3.7064301864017219E-3</v>
      </c>
    </row>
    <row r="98" spans="2:11" x14ac:dyDescent="0.25">
      <c r="D98" s="4" t="s">
        <v>34</v>
      </c>
      <c r="G98">
        <f>Definitions!G$17</f>
        <v>8.4805222095781527E-4</v>
      </c>
      <c r="H98">
        <f>Definitions!G$28</f>
        <v>5.3621547176475137E-9</v>
      </c>
      <c r="I98" s="6">
        <f t="shared" si="20"/>
        <v>8.4805758311253291E-4</v>
      </c>
      <c r="J98" s="1">
        <f t="shared" ca="1" si="17"/>
        <v>2.7236242686775376</v>
      </c>
      <c r="K98" s="1">
        <f t="shared" ca="1" si="16"/>
        <v>2.3097902146013123E-3</v>
      </c>
    </row>
    <row r="99" spans="2:11" x14ac:dyDescent="0.25">
      <c r="D99" s="4" t="s">
        <v>35</v>
      </c>
      <c r="G99">
        <f>Definitions!G$17</f>
        <v>8.4805222095781527E-4</v>
      </c>
      <c r="H99">
        <f>Definitions!G$29</f>
        <v>8.557262120117759E-3</v>
      </c>
      <c r="I99" s="6">
        <f t="shared" si="20"/>
        <v>9.4053143410755737E-3</v>
      </c>
      <c r="J99" s="1">
        <f t="shared" ca="1" si="17"/>
        <v>5.010247044047019</v>
      </c>
      <c r="K99" s="1">
        <f t="shared" ca="1" si="16"/>
        <v>4.7122948375706929E-2</v>
      </c>
    </row>
    <row r="100" spans="2:11" x14ac:dyDescent="0.25">
      <c r="D100" s="4" t="s">
        <v>36</v>
      </c>
      <c r="G100">
        <f>Definitions!G$17</f>
        <v>8.4805222095781527E-4</v>
      </c>
      <c r="H100">
        <f>Definitions!G$30</f>
        <v>7.3226734992402288E-5</v>
      </c>
      <c r="I100" s="6">
        <f t="shared" si="20"/>
        <v>9.2127895595021752E-4</v>
      </c>
      <c r="J100" s="1">
        <f t="shared" ca="1" si="17"/>
        <v>6.1676273238158767</v>
      </c>
      <c r="K100" s="1">
        <f t="shared" ca="1" si="16"/>
        <v>5.6821052615751251E-3</v>
      </c>
    </row>
    <row r="101" spans="2:11" x14ac:dyDescent="0.25">
      <c r="D101" s="4" t="s">
        <v>37</v>
      </c>
      <c r="G101">
        <f>Definitions!G$17</f>
        <v>8.4805222095781527E-4</v>
      </c>
      <c r="H101">
        <f>Definitions!G$31</f>
        <v>6.266203655303857E-7</v>
      </c>
      <c r="I101" s="6">
        <f t="shared" si="20"/>
        <v>8.4867884132334569E-4</v>
      </c>
      <c r="J101" s="1">
        <f t="shared" ca="1" si="17"/>
        <v>1.5615990192356977</v>
      </c>
      <c r="K101" s="1">
        <f t="shared" ca="1" si="16"/>
        <v>1.3252960462566249E-3</v>
      </c>
    </row>
    <row r="102" spans="2:11" x14ac:dyDescent="0.25">
      <c r="D102" s="4" t="s">
        <v>38</v>
      </c>
      <c r="G102">
        <f>Definitions!G$17</f>
        <v>8.4805222095781527E-4</v>
      </c>
      <c r="H102">
        <f>Definitions!G$32</f>
        <v>8.557262120117759E-3</v>
      </c>
      <c r="I102" s="6">
        <f t="shared" si="18"/>
        <v>9.4053143410755737E-3</v>
      </c>
      <c r="J102" s="1">
        <f t="shared" ca="1" si="17"/>
        <v>5.8679908844722242</v>
      </c>
      <c r="K102" s="1">
        <f t="shared" ca="1" si="16"/>
        <v>5.5190298819027352E-2</v>
      </c>
    </row>
    <row r="103" spans="2:11" x14ac:dyDescent="0.25">
      <c r="D103" s="4" t="s">
        <v>39</v>
      </c>
      <c r="G103">
        <f>Definitions!G$17</f>
        <v>8.4805222095781527E-4</v>
      </c>
      <c r="H103">
        <f>Definitions!G$33</f>
        <v>7.3226734992402288E-5</v>
      </c>
      <c r="I103" s="6">
        <f t="shared" si="18"/>
        <v>9.2127895595021752E-4</v>
      </c>
      <c r="J103" s="1">
        <f t="shared" ca="1" si="17"/>
        <v>3.4258114961966668</v>
      </c>
      <c r="K103" s="1">
        <f t="shared" ca="1" si="16"/>
        <v>3.1561280384983176E-3</v>
      </c>
    </row>
    <row r="104" spans="2:11" x14ac:dyDescent="0.25">
      <c r="D104" s="4" t="s">
        <v>40</v>
      </c>
      <c r="G104">
        <f>Definitions!G$17</f>
        <v>8.4805222095781527E-4</v>
      </c>
      <c r="H104">
        <f>Definitions!G$34</f>
        <v>8.557262120117759E-3</v>
      </c>
      <c r="I104" s="6">
        <f t="shared" si="18"/>
        <v>9.4053143410755737E-3</v>
      </c>
      <c r="J104" s="1">
        <f t="shared" ca="1" si="17"/>
        <v>6.0989361855812145</v>
      </c>
      <c r="K104" s="1">
        <f t="shared" ca="1" si="16"/>
        <v>5.7362411971551751E-2</v>
      </c>
    </row>
    <row r="105" spans="2:11" x14ac:dyDescent="0.25">
      <c r="B105" s="4"/>
      <c r="C105" s="4" t="s">
        <v>29</v>
      </c>
      <c r="D105" s="4" t="s">
        <v>19</v>
      </c>
      <c r="G105">
        <f>Definitions!G$18</f>
        <v>0.14734469250135696</v>
      </c>
      <c r="I105" s="6">
        <f t="shared" ref="I105" si="23">IF(1-(SUM(I106:I115))&lt;0,0,1-(SUM(I106:I115)))</f>
        <v>0</v>
      </c>
      <c r="J105" s="1">
        <f t="shared" ca="1" si="17"/>
        <v>7.9755336152247907</v>
      </c>
      <c r="K105" s="1">
        <f t="shared" ca="1" si="16"/>
        <v>0</v>
      </c>
    </row>
    <row r="106" spans="2:11" x14ac:dyDescent="0.25">
      <c r="D106" s="4" t="s">
        <v>32</v>
      </c>
      <c r="G106">
        <f>Definitions!G$18</f>
        <v>0.14734469250135696</v>
      </c>
      <c r="H106">
        <f>Definitions!G$25</f>
        <v>8.557262120117759E-3</v>
      </c>
      <c r="I106" s="6">
        <f t="shared" si="20"/>
        <v>0.15590195462147471</v>
      </c>
      <c r="J106" s="1">
        <f t="shared" ca="1" si="17"/>
        <v>2.913520911980287</v>
      </c>
      <c r="K106" s="1">
        <f t="shared" ca="1" si="16"/>
        <v>0.45422360500826831</v>
      </c>
    </row>
    <row r="107" spans="2:11" x14ac:dyDescent="0.25">
      <c r="D107" s="4" t="s">
        <v>25</v>
      </c>
      <c r="G107">
        <f>Definitions!G$18</f>
        <v>0.14734469250135696</v>
      </c>
      <c r="H107">
        <f>Definitions!G$26</f>
        <v>7.3226734992402288E-5</v>
      </c>
      <c r="I107" s="6">
        <f t="shared" si="20"/>
        <v>0.14741791923634937</v>
      </c>
      <c r="J107" s="1">
        <f t="shared" ca="1" si="17"/>
        <v>5.5611571027929321</v>
      </c>
      <c r="K107" s="1">
        <f t="shared" ca="1" si="16"/>
        <v>0.81981420864017907</v>
      </c>
    </row>
    <row r="108" spans="2:11" x14ac:dyDescent="0.25">
      <c r="D108" s="4" t="s">
        <v>33</v>
      </c>
      <c r="G108">
        <f>Definitions!G$18</f>
        <v>0.14734469250135696</v>
      </c>
      <c r="H108">
        <f>Definitions!G$27</f>
        <v>6.266203655303857E-7</v>
      </c>
      <c r="I108" s="6">
        <f t="shared" si="20"/>
        <v>0.1473453191217225</v>
      </c>
      <c r="J108" s="1">
        <f t="shared" ca="1" si="17"/>
        <v>2.3030990267665121</v>
      </c>
      <c r="K108" s="1">
        <f t="shared" ca="1" si="16"/>
        <v>0.33935086106784024</v>
      </c>
    </row>
    <row r="109" spans="2:11" x14ac:dyDescent="0.25">
      <c r="D109" s="4" t="s">
        <v>34</v>
      </c>
      <c r="G109">
        <f>Definitions!G$18</f>
        <v>0.14734469250135696</v>
      </c>
      <c r="H109">
        <f>Definitions!G$28</f>
        <v>5.3621547176475137E-9</v>
      </c>
      <c r="I109" s="6">
        <f t="shared" si="20"/>
        <v>0.14734469786351168</v>
      </c>
      <c r="J109" s="1">
        <f t="shared" ca="1" si="17"/>
        <v>4.3870912939187159</v>
      </c>
      <c r="K109" s="1">
        <f t="shared" ca="1" si="16"/>
        <v>0.64641464120209569</v>
      </c>
    </row>
    <row r="110" spans="2:11" x14ac:dyDescent="0.25">
      <c r="D110" s="4" t="s">
        <v>35</v>
      </c>
      <c r="G110">
        <f>Definitions!G$18</f>
        <v>0.14734469250135696</v>
      </c>
      <c r="H110">
        <f>Definitions!G$29</f>
        <v>8.557262120117759E-3</v>
      </c>
      <c r="I110" s="6">
        <f t="shared" si="20"/>
        <v>0.15590195462147471</v>
      </c>
      <c r="J110" s="1">
        <f t="shared" ca="1" si="17"/>
        <v>2.4207755148812105</v>
      </c>
      <c r="K110" s="1">
        <f t="shared" ca="1" si="16"/>
        <v>0.37740363446978759</v>
      </c>
    </row>
    <row r="111" spans="2:11" x14ac:dyDescent="0.25">
      <c r="D111" s="4" t="s">
        <v>36</v>
      </c>
      <c r="G111">
        <f>Definitions!G$18</f>
        <v>0.14734469250135696</v>
      </c>
      <c r="H111">
        <f>Definitions!G$30</f>
        <v>7.3226734992402288E-5</v>
      </c>
      <c r="I111" s="6">
        <f t="shared" si="20"/>
        <v>0.14741791923634937</v>
      </c>
      <c r="J111" s="1">
        <f t="shared" ca="1" si="17"/>
        <v>3.730727732566403</v>
      </c>
      <c r="K111" s="1">
        <f t="shared" ca="1" si="16"/>
        <v>0.54997611957228276</v>
      </c>
    </row>
    <row r="112" spans="2:11" x14ac:dyDescent="0.25">
      <c r="D112" s="4" t="s">
        <v>37</v>
      </c>
      <c r="G112">
        <f>Definitions!G$18</f>
        <v>0.14734469250135696</v>
      </c>
      <c r="H112">
        <f>Definitions!G$31</f>
        <v>6.266203655303857E-7</v>
      </c>
      <c r="I112" s="6">
        <f t="shared" si="20"/>
        <v>0.1473453191217225</v>
      </c>
      <c r="J112" s="1">
        <f t="shared" ca="1" si="17"/>
        <v>3.804904143303494</v>
      </c>
      <c r="K112" s="1">
        <f t="shared" ca="1" si="16"/>
        <v>0.56063481522261749</v>
      </c>
    </row>
    <row r="113" spans="2:11" x14ac:dyDescent="0.25">
      <c r="D113" s="4" t="s">
        <v>38</v>
      </c>
      <c r="G113">
        <f>Definitions!G$18</f>
        <v>0.14734469250135696</v>
      </c>
      <c r="H113">
        <f>Definitions!G$32</f>
        <v>8.557262120117759E-3</v>
      </c>
      <c r="I113" s="6">
        <f t="shared" si="18"/>
        <v>0.15590195462147471</v>
      </c>
      <c r="J113" s="1">
        <f t="shared" ca="1" si="17"/>
        <v>1.7637260927207725</v>
      </c>
      <c r="K113" s="1">
        <f t="shared" ca="1" si="16"/>
        <v>0.27496834527206476</v>
      </c>
    </row>
    <row r="114" spans="2:11" x14ac:dyDescent="0.25">
      <c r="D114" s="4" t="s">
        <v>39</v>
      </c>
      <c r="G114">
        <f>Definitions!G$18</f>
        <v>0.14734469250135696</v>
      </c>
      <c r="H114">
        <f>Definitions!G$33</f>
        <v>7.3226734992402288E-5</v>
      </c>
      <c r="I114" s="6">
        <f t="shared" si="18"/>
        <v>0.14741791923634937</v>
      </c>
      <c r="J114" s="1">
        <f t="shared" ca="1" si="17"/>
        <v>1.4527874955558469</v>
      </c>
      <c r="K114" s="1">
        <f t="shared" ca="1" si="16"/>
        <v>0.2141669096874301</v>
      </c>
    </row>
    <row r="115" spans="2:11" x14ac:dyDescent="0.25">
      <c r="D115" s="4" t="s">
        <v>40</v>
      </c>
      <c r="G115">
        <f>Definitions!G$18</f>
        <v>0.14734469250135696</v>
      </c>
      <c r="H115">
        <f>Definitions!G$34</f>
        <v>8.557262120117759E-3</v>
      </c>
      <c r="I115" s="6">
        <f t="shared" si="18"/>
        <v>0.15590195462147471</v>
      </c>
      <c r="J115" s="1">
        <f t="shared" ca="1" si="17"/>
        <v>8.3073406413140773</v>
      </c>
      <c r="K115" s="1">
        <f t="shared" ca="1" si="16"/>
        <v>1.29513064368728</v>
      </c>
    </row>
    <row r="116" spans="2:11" x14ac:dyDescent="0.25">
      <c r="B116" s="4"/>
      <c r="C116" s="4" t="s">
        <v>30</v>
      </c>
      <c r="D116" s="4" t="s">
        <v>19</v>
      </c>
      <c r="G116">
        <f>Definitions!G$18</f>
        <v>0.14734469250135696</v>
      </c>
      <c r="I116" s="6">
        <f t="shared" ref="I116" si="24">IF(1-(SUM(I117:I126))&lt;0,0,1-(SUM(I117:I126)))</f>
        <v>0.90799434466817641</v>
      </c>
      <c r="J116" s="1">
        <f t="shared" ca="1" si="17"/>
        <v>4.0679602138970212</v>
      </c>
      <c r="K116" s="1">
        <f t="shared" ca="1" si="16"/>
        <v>3.6936848685536403</v>
      </c>
    </row>
    <row r="117" spans="2:11" x14ac:dyDescent="0.25">
      <c r="D117" s="4" t="s">
        <v>32</v>
      </c>
      <c r="G117">
        <f>Definitions!G$19</f>
        <v>5.75556680434896E-3</v>
      </c>
      <c r="H117">
        <f>Definitions!G$25</f>
        <v>8.557262120117759E-3</v>
      </c>
      <c r="I117" s="6">
        <f t="shared" si="20"/>
        <v>1.4312828924466718E-2</v>
      </c>
      <c r="J117" s="1">
        <f t="shared" ca="1" si="17"/>
        <v>6.2783381973496102</v>
      </c>
      <c r="K117" s="1">
        <f t="shared" ca="1" si="16"/>
        <v>8.9860780548609728E-2</v>
      </c>
    </row>
    <row r="118" spans="2:11" x14ac:dyDescent="0.25">
      <c r="D118" s="4" t="s">
        <v>25</v>
      </c>
      <c r="G118">
        <f>Definitions!G$19</f>
        <v>5.75556680434896E-3</v>
      </c>
      <c r="H118">
        <f>Definitions!G$26</f>
        <v>7.3226734992402288E-5</v>
      </c>
      <c r="I118" s="6">
        <f t="shared" si="20"/>
        <v>5.828793539341362E-3</v>
      </c>
      <c r="J118" s="1">
        <f t="shared" ca="1" si="17"/>
        <v>3.28699825486893</v>
      </c>
      <c r="K118" s="1">
        <f t="shared" ca="1" si="16"/>
        <v>1.9159234191806353E-2</v>
      </c>
    </row>
    <row r="119" spans="2:11" x14ac:dyDescent="0.25">
      <c r="D119" s="4" t="s">
        <v>33</v>
      </c>
      <c r="G119">
        <f>Definitions!G$19</f>
        <v>5.75556680434896E-3</v>
      </c>
      <c r="H119">
        <f>Definitions!G$27</f>
        <v>6.266203655303857E-7</v>
      </c>
      <c r="I119" s="6">
        <f t="shared" si="20"/>
        <v>5.7561934247144907E-3</v>
      </c>
      <c r="J119" s="1">
        <f t="shared" ca="1" si="17"/>
        <v>3.1107676397142923</v>
      </c>
      <c r="K119" s="1">
        <f t="shared" ca="1" si="16"/>
        <v>1.7906180233538026E-2</v>
      </c>
    </row>
    <row r="120" spans="2:11" x14ac:dyDescent="0.25">
      <c r="D120" s="4" t="s">
        <v>34</v>
      </c>
      <c r="G120">
        <f>Definitions!G$19</f>
        <v>5.75556680434896E-3</v>
      </c>
      <c r="H120">
        <f>Definitions!G$28</f>
        <v>5.3621547176475137E-9</v>
      </c>
      <c r="I120" s="6">
        <f t="shared" si="20"/>
        <v>5.7555721665036776E-3</v>
      </c>
      <c r="J120" s="1">
        <f t="shared" ca="1" si="17"/>
        <v>2.0448875302395626</v>
      </c>
      <c r="K120" s="1">
        <f t="shared" ca="1" si="16"/>
        <v>1.1769497752677273E-2</v>
      </c>
    </row>
    <row r="121" spans="2:11" x14ac:dyDescent="0.25">
      <c r="D121" s="4" t="s">
        <v>35</v>
      </c>
      <c r="G121">
        <f>Definitions!G$19</f>
        <v>5.75556680434896E-3</v>
      </c>
      <c r="H121">
        <f>Definitions!G$29</f>
        <v>8.557262120117759E-3</v>
      </c>
      <c r="I121" s="6">
        <f t="shared" si="20"/>
        <v>1.4312828924466718E-2</v>
      </c>
      <c r="J121" s="1">
        <f t="shared" ca="1" si="17"/>
        <v>4.4485927321829699</v>
      </c>
      <c r="K121" s="1">
        <f t="shared" ca="1" si="16"/>
        <v>6.3671946730360834E-2</v>
      </c>
    </row>
    <row r="122" spans="2:11" x14ac:dyDescent="0.25">
      <c r="D122" s="4" t="s">
        <v>36</v>
      </c>
      <c r="G122">
        <f>Definitions!G$19</f>
        <v>5.75556680434896E-3</v>
      </c>
      <c r="H122">
        <f>Definitions!G$30</f>
        <v>7.3226734992402288E-5</v>
      </c>
      <c r="I122" s="6">
        <f t="shared" si="20"/>
        <v>5.828793539341362E-3</v>
      </c>
      <c r="J122" s="1">
        <f t="shared" ca="1" si="17"/>
        <v>1.7701237097628524</v>
      </c>
      <c r="K122" s="1">
        <f t="shared" ca="1" si="16"/>
        <v>1.0317685643300678E-2</v>
      </c>
    </row>
    <row r="123" spans="2:11" x14ac:dyDescent="0.25">
      <c r="D123" s="4" t="s">
        <v>37</v>
      </c>
      <c r="G123">
        <f>Definitions!G$19</f>
        <v>5.75556680434896E-3</v>
      </c>
      <c r="H123">
        <f>Definitions!G$31</f>
        <v>6.266203655303857E-7</v>
      </c>
      <c r="I123" s="6">
        <f t="shared" si="20"/>
        <v>5.7561934247144907E-3</v>
      </c>
      <c r="J123" s="1">
        <f t="shared" ca="1" si="17"/>
        <v>3.378244898315014</v>
      </c>
      <c r="K123" s="1">
        <f t="shared" ca="1" si="16"/>
        <v>1.9445831070756158E-2</v>
      </c>
    </row>
    <row r="124" spans="2:11" x14ac:dyDescent="0.25">
      <c r="D124" s="4" t="s">
        <v>38</v>
      </c>
      <c r="G124">
        <f>Definitions!G$19</f>
        <v>5.75556680434896E-3</v>
      </c>
      <c r="H124">
        <f>Definitions!G$32</f>
        <v>8.557262120117759E-3</v>
      </c>
      <c r="I124" s="6">
        <f t="shared" si="18"/>
        <v>1.4312828924466718E-2</v>
      </c>
      <c r="J124" s="1">
        <f t="shared" ca="1" si="17"/>
        <v>0.65757869479170772</v>
      </c>
      <c r="K124" s="1">
        <f t="shared" ca="1" si="16"/>
        <v>9.4118113629278258E-3</v>
      </c>
    </row>
    <row r="125" spans="2:11" x14ac:dyDescent="0.25">
      <c r="D125" s="4" t="s">
        <v>39</v>
      </c>
      <c r="G125">
        <f>Definitions!G$19</f>
        <v>5.75556680434896E-3</v>
      </c>
      <c r="H125">
        <f>Definitions!G$33</f>
        <v>7.3226734992402288E-5</v>
      </c>
      <c r="I125" s="6">
        <f t="shared" si="18"/>
        <v>5.828793539341362E-3</v>
      </c>
      <c r="J125" s="1">
        <f t="shared" ca="1" si="17"/>
        <v>5.2505878298692377</v>
      </c>
      <c r="K125" s="1">
        <f t="shared" ca="1" si="16"/>
        <v>3.0604592420486194E-2</v>
      </c>
    </row>
    <row r="126" spans="2:11" x14ac:dyDescent="0.25">
      <c r="D126" s="4" t="s">
        <v>40</v>
      </c>
      <c r="G126">
        <f>Definitions!G$19</f>
        <v>5.75556680434896E-3</v>
      </c>
      <c r="H126">
        <f>Definitions!G$34</f>
        <v>8.557262120117759E-3</v>
      </c>
      <c r="I126" s="6">
        <f t="shared" si="18"/>
        <v>1.4312828924466718E-2</v>
      </c>
      <c r="J126" s="1">
        <f t="shared" ca="1" si="17"/>
        <v>2.9053823248167316</v>
      </c>
      <c r="K126" s="1">
        <f t="shared" ref="K126:K189" ca="1" si="25">I126*J126</f>
        <v>4.1584240175271271E-2</v>
      </c>
    </row>
    <row r="127" spans="2:11" x14ac:dyDescent="0.25">
      <c r="B127" s="4"/>
      <c r="C127" s="4" t="s">
        <v>31</v>
      </c>
      <c r="D127" s="4" t="s">
        <v>19</v>
      </c>
      <c r="G127">
        <f>Definitions!G$19</f>
        <v>5.75556680434896E-3</v>
      </c>
      <c r="I127" s="6">
        <f t="shared" ref="I127" si="26">IF(1-(SUM(I128:I137))&lt;0,0,1-(SUM(I128:I137)))</f>
        <v>0.57493079822615234</v>
      </c>
      <c r="J127" s="1">
        <f t="shared" ref="J127:J190" ca="1" si="27">_xlfn.NORM.INV(RAND(),4,2)</f>
        <v>5.5186277731635727</v>
      </c>
      <c r="K127" s="1">
        <f t="shared" ca="1" si="25"/>
        <v>3.1728290707379463</v>
      </c>
    </row>
    <row r="128" spans="2:11" x14ac:dyDescent="0.25">
      <c r="D128" s="4" t="s">
        <v>32</v>
      </c>
      <c r="G128">
        <f>Definitions!G$20</f>
        <v>3.9061921448551362E-2</v>
      </c>
      <c r="H128">
        <f>Definitions!G$25</f>
        <v>8.557262120117759E-3</v>
      </c>
      <c r="I128" s="6">
        <f t="shared" si="20"/>
        <v>4.7619183568669121E-2</v>
      </c>
      <c r="J128" s="1">
        <f t="shared" ca="1" si="27"/>
        <v>3.7390603952588468</v>
      </c>
      <c r="K128" s="1">
        <f t="shared" ca="1" si="25"/>
        <v>0.17805100333617155</v>
      </c>
    </row>
    <row r="129" spans="2:11" x14ac:dyDescent="0.25">
      <c r="D129" s="4" t="s">
        <v>25</v>
      </c>
      <c r="G129">
        <f>Definitions!G$20</f>
        <v>3.9061921448551362E-2</v>
      </c>
      <c r="H129">
        <f>Definitions!G$26</f>
        <v>7.3226734992402288E-5</v>
      </c>
      <c r="I129" s="6">
        <f t="shared" si="20"/>
        <v>3.9135148183543765E-2</v>
      </c>
      <c r="J129" s="1">
        <f t="shared" ca="1" si="27"/>
        <v>2.52546417904564</v>
      </c>
      <c r="K129" s="1">
        <f t="shared" ca="1" si="25"/>
        <v>9.8834414879182819E-2</v>
      </c>
    </row>
    <row r="130" spans="2:11" x14ac:dyDescent="0.25">
      <c r="D130" s="4" t="s">
        <v>33</v>
      </c>
      <c r="G130">
        <f>Definitions!G$20</f>
        <v>3.9061921448551362E-2</v>
      </c>
      <c r="H130">
        <f>Definitions!G$27</f>
        <v>6.266203655303857E-7</v>
      </c>
      <c r="I130" s="6">
        <f t="shared" si="20"/>
        <v>3.9062548068916896E-2</v>
      </c>
      <c r="J130" s="1">
        <f t="shared" ca="1" si="27"/>
        <v>5.7866058721813847</v>
      </c>
      <c r="K130" s="1">
        <f t="shared" ca="1" si="25"/>
        <v>0.22603957003796213</v>
      </c>
    </row>
    <row r="131" spans="2:11" x14ac:dyDescent="0.25">
      <c r="D131" s="4" t="s">
        <v>34</v>
      </c>
      <c r="G131">
        <f>Definitions!G$20</f>
        <v>3.9061921448551362E-2</v>
      </c>
      <c r="H131">
        <f>Definitions!G$28</f>
        <v>5.3621547176475137E-9</v>
      </c>
      <c r="I131" s="6">
        <f t="shared" si="20"/>
        <v>3.9061926810706082E-2</v>
      </c>
      <c r="J131" s="1">
        <f t="shared" ca="1" si="27"/>
        <v>1.8267328915582857</v>
      </c>
      <c r="K131" s="1">
        <f t="shared" ca="1" si="25"/>
        <v>7.1355706512759243E-2</v>
      </c>
    </row>
    <row r="132" spans="2:11" x14ac:dyDescent="0.25">
      <c r="D132" s="4" t="s">
        <v>35</v>
      </c>
      <c r="G132">
        <f>Definitions!G$20</f>
        <v>3.9061921448551362E-2</v>
      </c>
      <c r="H132">
        <f>Definitions!G$29</f>
        <v>8.557262120117759E-3</v>
      </c>
      <c r="I132" s="6">
        <f t="shared" si="20"/>
        <v>4.7619183568669121E-2</v>
      </c>
      <c r="J132" s="1">
        <f t="shared" ca="1" si="27"/>
        <v>6.2055885737888872</v>
      </c>
      <c r="K132" s="1">
        <f t="shared" ca="1" si="25"/>
        <v>0.2955050614468886</v>
      </c>
    </row>
    <row r="133" spans="2:11" x14ac:dyDescent="0.25">
      <c r="D133" s="4" t="s">
        <v>36</v>
      </c>
      <c r="G133">
        <f>Definitions!G$20</f>
        <v>3.9061921448551362E-2</v>
      </c>
      <c r="H133">
        <f>Definitions!G$30</f>
        <v>7.3226734992402288E-5</v>
      </c>
      <c r="I133" s="6">
        <f t="shared" si="20"/>
        <v>3.9135148183543765E-2</v>
      </c>
      <c r="J133" s="1">
        <f t="shared" ca="1" si="27"/>
        <v>7.2989365852429957</v>
      </c>
      <c r="K133" s="1">
        <f t="shared" ca="1" si="25"/>
        <v>0.28564496484577356</v>
      </c>
    </row>
    <row r="134" spans="2:11" x14ac:dyDescent="0.25">
      <c r="D134" s="4" t="s">
        <v>37</v>
      </c>
      <c r="G134">
        <f>Definitions!G$20</f>
        <v>3.9061921448551362E-2</v>
      </c>
      <c r="H134">
        <f>Definitions!G$31</f>
        <v>6.266203655303857E-7</v>
      </c>
      <c r="I134" s="6">
        <f t="shared" si="20"/>
        <v>3.9062548068916896E-2</v>
      </c>
      <c r="J134" s="1">
        <f t="shared" ca="1" si="27"/>
        <v>4.7127763430798346</v>
      </c>
      <c r="K134" s="1">
        <f t="shared" ca="1" si="25"/>
        <v>0.18409305243961041</v>
      </c>
    </row>
    <row r="135" spans="2:11" x14ac:dyDescent="0.25">
      <c r="D135" s="4" t="s">
        <v>38</v>
      </c>
      <c r="G135">
        <f>Definitions!G$20</f>
        <v>3.9061921448551362E-2</v>
      </c>
      <c r="H135">
        <f>Definitions!G$32</f>
        <v>8.557262120117759E-3</v>
      </c>
      <c r="I135" s="6">
        <f t="shared" si="20"/>
        <v>4.7619183568669121E-2</v>
      </c>
      <c r="J135" s="1">
        <f t="shared" ca="1" si="27"/>
        <v>2.7140673586495927</v>
      </c>
      <c r="K135" s="1">
        <f t="shared" ca="1" si="25"/>
        <v>0.12924167176926787</v>
      </c>
    </row>
    <row r="136" spans="2:11" x14ac:dyDescent="0.25">
      <c r="D136" s="4" t="s">
        <v>39</v>
      </c>
      <c r="G136">
        <f>Definitions!G$20</f>
        <v>3.9061921448551362E-2</v>
      </c>
      <c r="H136">
        <f>Definitions!G$33</f>
        <v>7.3226734992402288E-5</v>
      </c>
      <c r="I136" s="6">
        <f t="shared" si="20"/>
        <v>3.9135148183543765E-2</v>
      </c>
      <c r="J136" s="1">
        <f t="shared" ca="1" si="27"/>
        <v>4.9230772623277641</v>
      </c>
      <c r="K136" s="1">
        <f t="shared" ca="1" si="25"/>
        <v>0.192665358180232</v>
      </c>
    </row>
    <row r="137" spans="2:11" x14ac:dyDescent="0.25">
      <c r="D137" s="4" t="s">
        <v>40</v>
      </c>
      <c r="G137">
        <f>Definitions!G$20</f>
        <v>3.9061921448551362E-2</v>
      </c>
      <c r="H137">
        <f>Definitions!G$34</f>
        <v>8.557262120117759E-3</v>
      </c>
      <c r="I137" s="6">
        <f t="shared" ref="I137:I192" si="28">SUM(F137+G137+H137)</f>
        <v>4.7619183568669121E-2</v>
      </c>
      <c r="J137" s="1">
        <f t="shared" ca="1" si="27"/>
        <v>7.4790265215787253</v>
      </c>
      <c r="K137" s="1">
        <f t="shared" ca="1" si="25"/>
        <v>0.35614513684600219</v>
      </c>
    </row>
    <row r="138" spans="2:11" x14ac:dyDescent="0.25">
      <c r="B138" s="4" t="s">
        <v>16</v>
      </c>
      <c r="C138" s="4" t="s">
        <v>18</v>
      </c>
      <c r="D138" s="4" t="s">
        <v>19</v>
      </c>
      <c r="F138">
        <f>Definitions!G$5</f>
        <v>0.15133278303612252</v>
      </c>
      <c r="I138" s="6">
        <f t="shared" ref="I138" si="29">IF(1-(SUM(I139:I148))&lt;0,0,1-(SUM(I139:I148)))</f>
        <v>0</v>
      </c>
      <c r="J138" s="1">
        <f t="shared" ca="1" si="27"/>
        <v>4.7624268458841428</v>
      </c>
      <c r="K138" s="1">
        <f t="shared" ca="1" si="25"/>
        <v>0</v>
      </c>
    </row>
    <row r="139" spans="2:11" x14ac:dyDescent="0.25">
      <c r="D139" s="4" t="s">
        <v>32</v>
      </c>
      <c r="F139">
        <f>Definitions!G$5</f>
        <v>0.15133278303612252</v>
      </c>
      <c r="H139">
        <f>Definitions!G$25</f>
        <v>8.557262120117759E-3</v>
      </c>
      <c r="I139" s="6">
        <f t="shared" ref="I139:I202" si="30">SUM(F139+G139+H139)</f>
        <v>0.15989004515624028</v>
      </c>
      <c r="J139" s="1">
        <f t="shared" ca="1" si="27"/>
        <v>5.3967496557952792</v>
      </c>
      <c r="K139" s="1">
        <f t="shared" ca="1" si="25"/>
        <v>0.86288654616203142</v>
      </c>
    </row>
    <row r="140" spans="2:11" x14ac:dyDescent="0.25">
      <c r="D140" s="4" t="s">
        <v>25</v>
      </c>
      <c r="F140">
        <f>Definitions!G$5</f>
        <v>0.15133278303612252</v>
      </c>
      <c r="H140">
        <f>Definitions!G$26</f>
        <v>7.3226734992402288E-5</v>
      </c>
      <c r="I140" s="6">
        <f t="shared" si="30"/>
        <v>0.15140600977111493</v>
      </c>
      <c r="J140" s="1">
        <f t="shared" ca="1" si="27"/>
        <v>5.0226374406107483</v>
      </c>
      <c r="K140" s="1">
        <f t="shared" ca="1" si="25"/>
        <v>0.76045749340987867</v>
      </c>
    </row>
    <row r="141" spans="2:11" x14ac:dyDescent="0.25">
      <c r="D141" s="4" t="s">
        <v>33</v>
      </c>
      <c r="F141">
        <f>Definitions!G$5</f>
        <v>0.15133278303612252</v>
      </c>
      <c r="H141">
        <f>Definitions!G$27</f>
        <v>6.266203655303857E-7</v>
      </c>
      <c r="I141" s="6">
        <f t="shared" si="30"/>
        <v>0.15133340965648806</v>
      </c>
      <c r="J141" s="1">
        <f t="shared" ca="1" si="27"/>
        <v>4.8800997666267971</v>
      </c>
      <c r="K141" s="1">
        <f t="shared" ca="1" si="25"/>
        <v>0.73852213714746484</v>
      </c>
    </row>
    <row r="142" spans="2:11" x14ac:dyDescent="0.25">
      <c r="D142" s="4" t="s">
        <v>34</v>
      </c>
      <c r="F142">
        <f>Definitions!G$5</f>
        <v>0.15133278303612252</v>
      </c>
      <c r="H142">
        <f>Definitions!G$28</f>
        <v>5.3621547176475137E-9</v>
      </c>
      <c r="I142" s="6">
        <f t="shared" si="30"/>
        <v>0.15133278839827724</v>
      </c>
      <c r="J142" s="1">
        <f t="shared" ca="1" si="27"/>
        <v>-0.97456449153416358</v>
      </c>
      <c r="K142" s="1">
        <f t="shared" ca="1" si="25"/>
        <v>-0.14748356197781423</v>
      </c>
    </row>
    <row r="143" spans="2:11" x14ac:dyDescent="0.25">
      <c r="D143" s="4" t="s">
        <v>35</v>
      </c>
      <c r="F143">
        <f>Definitions!G$5</f>
        <v>0.15133278303612252</v>
      </c>
      <c r="H143">
        <f>Definitions!G$29</f>
        <v>8.557262120117759E-3</v>
      </c>
      <c r="I143" s="6">
        <f t="shared" si="30"/>
        <v>0.15989004515624028</v>
      </c>
      <c r="J143" s="1">
        <f t="shared" ca="1" si="27"/>
        <v>5.5419647186323004</v>
      </c>
      <c r="K143" s="1">
        <f t="shared" ca="1" si="25"/>
        <v>0.886104989116409</v>
      </c>
    </row>
    <row r="144" spans="2:11" x14ac:dyDescent="0.25">
      <c r="D144" s="4" t="s">
        <v>36</v>
      </c>
      <c r="F144">
        <f>Definitions!G$5</f>
        <v>0.15133278303612252</v>
      </c>
      <c r="H144">
        <f>Definitions!G$30</f>
        <v>7.3226734992402288E-5</v>
      </c>
      <c r="I144" s="6">
        <f t="shared" si="30"/>
        <v>0.15140600977111493</v>
      </c>
      <c r="J144" s="1">
        <f t="shared" ca="1" si="27"/>
        <v>3.4495213111389207</v>
      </c>
      <c r="K144" s="1">
        <f t="shared" ca="1" si="25"/>
        <v>0.52227825733996858</v>
      </c>
    </row>
    <row r="145" spans="2:11" x14ac:dyDescent="0.25">
      <c r="D145" s="4" t="s">
        <v>37</v>
      </c>
      <c r="F145">
        <f>Definitions!G$5</f>
        <v>0.15133278303612252</v>
      </c>
      <c r="H145">
        <f>Definitions!G$31</f>
        <v>6.266203655303857E-7</v>
      </c>
      <c r="I145" s="6">
        <f t="shared" si="30"/>
        <v>0.15133340965648806</v>
      </c>
      <c r="J145" s="1">
        <f t="shared" ca="1" si="27"/>
        <v>3.1600231757529724</v>
      </c>
      <c r="K145" s="1">
        <f t="shared" ca="1" si="25"/>
        <v>0.47821708178022093</v>
      </c>
    </row>
    <row r="146" spans="2:11" x14ac:dyDescent="0.25">
      <c r="D146" s="4" t="s">
        <v>38</v>
      </c>
      <c r="F146">
        <f>Definitions!G$5</f>
        <v>0.15133278303612252</v>
      </c>
      <c r="H146">
        <f>Definitions!G$32</f>
        <v>8.557262120117759E-3</v>
      </c>
      <c r="I146" s="6">
        <f t="shared" si="28"/>
        <v>0.15989004515624028</v>
      </c>
      <c r="J146" s="1">
        <f t="shared" ca="1" si="27"/>
        <v>4.738678198720037</v>
      </c>
      <c r="K146" s="1">
        <f t="shared" ca="1" si="25"/>
        <v>0.75766747117423805</v>
      </c>
    </row>
    <row r="147" spans="2:11" x14ac:dyDescent="0.25">
      <c r="D147" s="4" t="s">
        <v>39</v>
      </c>
      <c r="F147">
        <f>Definitions!G$5</f>
        <v>0.15133278303612252</v>
      </c>
      <c r="H147">
        <f>Definitions!G$33</f>
        <v>7.3226734992402288E-5</v>
      </c>
      <c r="I147" s="6">
        <f t="shared" si="28"/>
        <v>0.15140600977111493</v>
      </c>
      <c r="J147" s="1">
        <f t="shared" ca="1" si="27"/>
        <v>2.9149477670653283</v>
      </c>
      <c r="K147" s="1">
        <f t="shared" ca="1" si="25"/>
        <v>0.44134061010258274</v>
      </c>
    </row>
    <row r="148" spans="2:11" x14ac:dyDescent="0.25">
      <c r="D148" s="4" t="s">
        <v>40</v>
      </c>
      <c r="F148">
        <f>Definitions!G$5</f>
        <v>0.15133278303612252</v>
      </c>
      <c r="H148">
        <f>Definitions!G$34</f>
        <v>8.557262120117759E-3</v>
      </c>
      <c r="I148" s="6">
        <f t="shared" si="28"/>
        <v>0.15989004515624028</v>
      </c>
      <c r="J148" s="1">
        <f t="shared" ca="1" si="27"/>
        <v>6.2034121518919143</v>
      </c>
      <c r="K148" s="1">
        <f t="shared" ca="1" si="25"/>
        <v>0.9918638490887679</v>
      </c>
    </row>
    <row r="149" spans="2:11" x14ac:dyDescent="0.25">
      <c r="B149" s="4"/>
      <c r="C149" s="4" t="s">
        <v>26</v>
      </c>
      <c r="D149" s="4" t="s">
        <v>19</v>
      </c>
      <c r="F149">
        <f>Definitions!G$5</f>
        <v>0.15133278303612252</v>
      </c>
      <c r="G149">
        <f>Definitions!G$15</f>
        <v>0.14734469250135696</v>
      </c>
      <c r="I149" s="6">
        <f t="shared" ref="I149" si="31">IF(1-(SUM(I150:I159))&lt;0,0,1-(SUM(I150:I159)))</f>
        <v>0</v>
      </c>
      <c r="J149" s="1">
        <f t="shared" ca="1" si="27"/>
        <v>0.61101559681055884</v>
      </c>
      <c r="K149" s="1">
        <f t="shared" ca="1" si="25"/>
        <v>0</v>
      </c>
    </row>
    <row r="150" spans="2:11" x14ac:dyDescent="0.25">
      <c r="D150" s="4" t="s">
        <v>32</v>
      </c>
      <c r="F150">
        <f>Definitions!G$5</f>
        <v>0.15133278303612252</v>
      </c>
      <c r="G150">
        <f>Definitions!G$15</f>
        <v>0.14734469250135696</v>
      </c>
      <c r="H150">
        <f>Definitions!G$25</f>
        <v>8.557262120117759E-3</v>
      </c>
      <c r="I150" s="6">
        <f t="shared" si="30"/>
        <v>0.30723473765759723</v>
      </c>
      <c r="J150" s="1">
        <f t="shared" ca="1" si="27"/>
        <v>1.2719427058765449</v>
      </c>
      <c r="K150" s="1">
        <f t="shared" ca="1" si="25"/>
        <v>0.39078498355547464</v>
      </c>
    </row>
    <row r="151" spans="2:11" x14ac:dyDescent="0.25">
      <c r="D151" s="4" t="s">
        <v>25</v>
      </c>
      <c r="F151">
        <f>Definitions!G$5</f>
        <v>0.15133278303612252</v>
      </c>
      <c r="G151">
        <f>Definitions!G$15</f>
        <v>0.14734469250135696</v>
      </c>
      <c r="H151">
        <f>Definitions!G$26</f>
        <v>7.3226734992402288E-5</v>
      </c>
      <c r="I151" s="6">
        <f t="shared" si="30"/>
        <v>0.29875070227247186</v>
      </c>
      <c r="J151" s="1">
        <f t="shared" ca="1" si="27"/>
        <v>6.6458792379434914</v>
      </c>
      <c r="K151" s="1">
        <f t="shared" ca="1" si="25"/>
        <v>1.9854610895536582</v>
      </c>
    </row>
    <row r="152" spans="2:11" x14ac:dyDescent="0.25">
      <c r="D152" s="4" t="s">
        <v>33</v>
      </c>
      <c r="F152">
        <f>Definitions!G$5</f>
        <v>0.15133278303612252</v>
      </c>
      <c r="G152">
        <f>Definitions!G$15</f>
        <v>0.14734469250135696</v>
      </c>
      <c r="H152">
        <f>Definitions!G$27</f>
        <v>6.266203655303857E-7</v>
      </c>
      <c r="I152" s="6">
        <f t="shared" si="30"/>
        <v>0.29867810215784502</v>
      </c>
      <c r="J152" s="1">
        <f t="shared" ca="1" si="27"/>
        <v>7.3808477219853721</v>
      </c>
      <c r="K152" s="1">
        <f t="shared" ca="1" si="25"/>
        <v>2.2044975899186445</v>
      </c>
    </row>
    <row r="153" spans="2:11" x14ac:dyDescent="0.25">
      <c r="D153" s="4" t="s">
        <v>34</v>
      </c>
      <c r="F153">
        <f>Definitions!G$5</f>
        <v>0.15133278303612252</v>
      </c>
      <c r="G153">
        <f>Definitions!G$15</f>
        <v>0.14734469250135696</v>
      </c>
      <c r="H153">
        <f>Definitions!G$28</f>
        <v>5.3621547176475137E-9</v>
      </c>
      <c r="I153" s="6">
        <f t="shared" si="30"/>
        <v>0.2986774808996342</v>
      </c>
      <c r="J153" s="1">
        <f t="shared" ca="1" si="27"/>
        <v>3.6810674194165802</v>
      </c>
      <c r="K153" s="1">
        <f t="shared" ca="1" si="25"/>
        <v>1.0994519438530614</v>
      </c>
    </row>
    <row r="154" spans="2:11" x14ac:dyDescent="0.25">
      <c r="D154" s="4" t="s">
        <v>35</v>
      </c>
      <c r="F154">
        <f>Definitions!G$5</f>
        <v>0.15133278303612252</v>
      </c>
      <c r="G154">
        <f>Definitions!G$15</f>
        <v>0.14734469250135696</v>
      </c>
      <c r="H154">
        <f>Definitions!G$29</f>
        <v>8.557262120117759E-3</v>
      </c>
      <c r="I154" s="6">
        <f t="shared" si="30"/>
        <v>0.30723473765759723</v>
      </c>
      <c r="J154" s="1">
        <f t="shared" ca="1" si="27"/>
        <v>5.5230905623731523</v>
      </c>
      <c r="K154" s="1">
        <f t="shared" ca="1" si="25"/>
        <v>1.6968852799898666</v>
      </c>
    </row>
    <row r="155" spans="2:11" x14ac:dyDescent="0.25">
      <c r="D155" s="4" t="s">
        <v>36</v>
      </c>
      <c r="F155">
        <f>Definitions!G$5</f>
        <v>0.15133278303612252</v>
      </c>
      <c r="G155">
        <f>Definitions!G$15</f>
        <v>0.14734469250135696</v>
      </c>
      <c r="H155">
        <f>Definitions!G$30</f>
        <v>7.3226734992402288E-5</v>
      </c>
      <c r="I155" s="6">
        <f t="shared" si="30"/>
        <v>0.29875070227247186</v>
      </c>
      <c r="J155" s="1">
        <f t="shared" ca="1" si="27"/>
        <v>3.9279588808957921</v>
      </c>
      <c r="K155" s="1">
        <f t="shared" ca="1" si="25"/>
        <v>1.1734804741650104</v>
      </c>
    </row>
    <row r="156" spans="2:11" x14ac:dyDescent="0.25">
      <c r="D156" s="4" t="s">
        <v>37</v>
      </c>
      <c r="F156">
        <f>Definitions!G$5</f>
        <v>0.15133278303612252</v>
      </c>
      <c r="G156">
        <f>Definitions!G$15</f>
        <v>0.14734469250135696</v>
      </c>
      <c r="H156">
        <f>Definitions!G$31</f>
        <v>6.266203655303857E-7</v>
      </c>
      <c r="I156" s="6">
        <f t="shared" si="30"/>
        <v>0.29867810215784502</v>
      </c>
      <c r="J156" s="1">
        <f t="shared" ca="1" si="27"/>
        <v>1.7138726944231268</v>
      </c>
      <c r="K156" s="1">
        <f t="shared" ca="1" si="25"/>
        <v>0.51189624371045173</v>
      </c>
    </row>
    <row r="157" spans="2:11" x14ac:dyDescent="0.25">
      <c r="D157" s="4" t="s">
        <v>38</v>
      </c>
      <c r="F157">
        <f>Definitions!G$5</f>
        <v>0.15133278303612252</v>
      </c>
      <c r="G157">
        <f>Definitions!G$15</f>
        <v>0.14734469250135696</v>
      </c>
      <c r="H157">
        <f>Definitions!G$32</f>
        <v>8.557262120117759E-3</v>
      </c>
      <c r="I157" s="6">
        <f t="shared" si="28"/>
        <v>0.30723473765759723</v>
      </c>
      <c r="J157" s="1">
        <f t="shared" ca="1" si="27"/>
        <v>2.5652212041997329</v>
      </c>
      <c r="K157" s="1">
        <f t="shared" ca="1" si="25"/>
        <v>0.78812506370601054</v>
      </c>
    </row>
    <row r="158" spans="2:11" x14ac:dyDescent="0.25">
      <c r="D158" s="4" t="s">
        <v>39</v>
      </c>
      <c r="F158">
        <f>Definitions!G$5</f>
        <v>0.15133278303612252</v>
      </c>
      <c r="G158">
        <f>Definitions!G$15</f>
        <v>0.14734469250135696</v>
      </c>
      <c r="H158">
        <f>Definitions!G$33</f>
        <v>7.3226734992402288E-5</v>
      </c>
      <c r="I158" s="6">
        <f t="shared" si="28"/>
        <v>0.29875070227247186</v>
      </c>
      <c r="J158" s="1">
        <f t="shared" ca="1" si="27"/>
        <v>5.4245668769546507</v>
      </c>
      <c r="K158" s="1">
        <f t="shared" ca="1" si="25"/>
        <v>1.6205931640141913</v>
      </c>
    </row>
    <row r="159" spans="2:11" x14ac:dyDescent="0.25">
      <c r="D159" s="4" t="s">
        <v>40</v>
      </c>
      <c r="F159">
        <f>Definitions!G$5</f>
        <v>0.15133278303612252</v>
      </c>
      <c r="G159">
        <f>Definitions!G$15</f>
        <v>0.14734469250135696</v>
      </c>
      <c r="H159">
        <f>Definitions!G$34</f>
        <v>8.557262120117759E-3</v>
      </c>
      <c r="I159" s="6">
        <f t="shared" si="28"/>
        <v>0.30723473765759723</v>
      </c>
      <c r="J159" s="1">
        <f t="shared" ca="1" si="27"/>
        <v>5.7701729042679686</v>
      </c>
      <c r="K159" s="1">
        <f t="shared" ca="1" si="25"/>
        <v>1.7727975584817453</v>
      </c>
    </row>
    <row r="160" spans="2:11" x14ac:dyDescent="0.25">
      <c r="B160" s="4"/>
      <c r="C160" s="4" t="s">
        <v>27</v>
      </c>
      <c r="D160" s="4" t="s">
        <v>19</v>
      </c>
      <c r="F160">
        <f>Definitions!G$5</f>
        <v>0.15133278303612252</v>
      </c>
      <c r="G160">
        <f>Definitions!G$16</f>
        <v>2.1710458408319436E-2</v>
      </c>
      <c r="I160" s="6">
        <f t="shared" ref="I160" si="32">IF(1-(SUM(I161:I170))&lt;0,0,1-(SUM(I161:I170)))</f>
        <v>0</v>
      </c>
      <c r="J160" s="1">
        <f t="shared" ca="1" si="27"/>
        <v>4.1962140620859589</v>
      </c>
      <c r="K160" s="1">
        <f t="shared" ca="1" si="25"/>
        <v>0</v>
      </c>
    </row>
    <row r="161" spans="2:11" x14ac:dyDescent="0.25">
      <c r="D161" s="4" t="s">
        <v>32</v>
      </c>
      <c r="F161">
        <f>Definitions!G$5</f>
        <v>0.15133278303612252</v>
      </c>
      <c r="G161">
        <f>Definitions!G$16</f>
        <v>2.1710458408319436E-2</v>
      </c>
      <c r="H161">
        <f>Definitions!G$25</f>
        <v>8.557262120117759E-3</v>
      </c>
      <c r="I161" s="6">
        <f t="shared" si="30"/>
        <v>0.1816005035645597</v>
      </c>
      <c r="J161" s="1">
        <f t="shared" ca="1" si="27"/>
        <v>2.7401654485320557</v>
      </c>
      <c r="K161" s="1">
        <f t="shared" ca="1" si="25"/>
        <v>0.4976154253036289</v>
      </c>
    </row>
    <row r="162" spans="2:11" x14ac:dyDescent="0.25">
      <c r="D162" s="4" t="s">
        <v>25</v>
      </c>
      <c r="F162">
        <f>Definitions!G$5</f>
        <v>0.15133278303612252</v>
      </c>
      <c r="G162">
        <f>Definitions!G$16</f>
        <v>2.1710458408319436E-2</v>
      </c>
      <c r="H162">
        <f>Definitions!G$26</f>
        <v>7.3226734992402288E-5</v>
      </c>
      <c r="I162" s="6">
        <f t="shared" si="30"/>
        <v>0.17311646817943435</v>
      </c>
      <c r="J162" s="1">
        <f t="shared" ca="1" si="27"/>
        <v>8.0104874404427022</v>
      </c>
      <c r="K162" s="1">
        <f t="shared" ca="1" si="25"/>
        <v>1.3867472940851575</v>
      </c>
    </row>
    <row r="163" spans="2:11" x14ac:dyDescent="0.25">
      <c r="D163" s="4" t="s">
        <v>33</v>
      </c>
      <c r="F163">
        <f>Definitions!G$5</f>
        <v>0.15133278303612252</v>
      </c>
      <c r="G163">
        <f>Definitions!G$16</f>
        <v>2.1710458408319436E-2</v>
      </c>
      <c r="H163">
        <f>Definitions!G$27</f>
        <v>6.266203655303857E-7</v>
      </c>
      <c r="I163" s="6">
        <f t="shared" si="30"/>
        <v>0.17304386806480748</v>
      </c>
      <c r="J163" s="1">
        <f t="shared" ca="1" si="27"/>
        <v>4.3786170663279282</v>
      </c>
      <c r="K163" s="1">
        <f t="shared" ca="1" si="25"/>
        <v>0.7576928339319644</v>
      </c>
    </row>
    <row r="164" spans="2:11" x14ac:dyDescent="0.25">
      <c r="D164" s="4" t="s">
        <v>34</v>
      </c>
      <c r="F164">
        <f>Definitions!G$5</f>
        <v>0.15133278303612252</v>
      </c>
      <c r="G164">
        <f>Definitions!G$16</f>
        <v>2.1710458408319436E-2</v>
      </c>
      <c r="H164">
        <f>Definitions!G$28</f>
        <v>5.3621547176475137E-9</v>
      </c>
      <c r="I164" s="6">
        <f t="shared" si="30"/>
        <v>0.17304324680659666</v>
      </c>
      <c r="J164" s="1">
        <f t="shared" ca="1" si="27"/>
        <v>6.0701395052529463</v>
      </c>
      <c r="K164" s="1">
        <f t="shared" ca="1" si="25"/>
        <v>1.0503966485579581</v>
      </c>
    </row>
    <row r="165" spans="2:11" x14ac:dyDescent="0.25">
      <c r="D165" s="4" t="s">
        <v>35</v>
      </c>
      <c r="F165">
        <f>Definitions!G$5</f>
        <v>0.15133278303612252</v>
      </c>
      <c r="G165">
        <f>Definitions!G$16</f>
        <v>2.1710458408319436E-2</v>
      </c>
      <c r="H165">
        <f>Definitions!G$29</f>
        <v>8.557262120117759E-3</v>
      </c>
      <c r="I165" s="6">
        <f t="shared" si="30"/>
        <v>0.1816005035645597</v>
      </c>
      <c r="J165" s="1">
        <f t="shared" ca="1" si="27"/>
        <v>3.7937000046115159</v>
      </c>
      <c r="K165" s="1">
        <f t="shared" ca="1" si="25"/>
        <v>0.6889378312103237</v>
      </c>
    </row>
    <row r="166" spans="2:11" x14ac:dyDescent="0.25">
      <c r="D166" s="4" t="s">
        <v>36</v>
      </c>
      <c r="F166">
        <f>Definitions!G$5</f>
        <v>0.15133278303612252</v>
      </c>
      <c r="G166">
        <f>Definitions!G$16</f>
        <v>2.1710458408319436E-2</v>
      </c>
      <c r="H166">
        <f>Definitions!G$30</f>
        <v>7.3226734992402288E-5</v>
      </c>
      <c r="I166" s="6">
        <f t="shared" si="30"/>
        <v>0.17311646817943435</v>
      </c>
      <c r="J166" s="1">
        <f t="shared" ca="1" si="27"/>
        <v>0.47026114956431497</v>
      </c>
      <c r="K166" s="1">
        <f t="shared" ca="1" si="25"/>
        <v>8.1409949334574946E-2</v>
      </c>
    </row>
    <row r="167" spans="2:11" x14ac:dyDescent="0.25">
      <c r="D167" s="4" t="s">
        <v>37</v>
      </c>
      <c r="F167">
        <f>Definitions!G$5</f>
        <v>0.15133278303612252</v>
      </c>
      <c r="G167">
        <f>Definitions!G$16</f>
        <v>2.1710458408319436E-2</v>
      </c>
      <c r="H167">
        <f>Definitions!G$31</f>
        <v>6.266203655303857E-7</v>
      </c>
      <c r="I167" s="6">
        <f t="shared" si="30"/>
        <v>0.17304386806480748</v>
      </c>
      <c r="J167" s="1">
        <f t="shared" ca="1" si="27"/>
        <v>-0.55444974105752909</v>
      </c>
      <c r="K167" s="1">
        <f t="shared" ca="1" si="25"/>
        <v>-9.5944127840125737E-2</v>
      </c>
    </row>
    <row r="168" spans="2:11" x14ac:dyDescent="0.25">
      <c r="D168" s="4" t="s">
        <v>38</v>
      </c>
      <c r="F168">
        <f>Definitions!G$5</f>
        <v>0.15133278303612252</v>
      </c>
      <c r="G168">
        <f>Definitions!G$16</f>
        <v>2.1710458408319436E-2</v>
      </c>
      <c r="H168">
        <f>Definitions!G$32</f>
        <v>8.557262120117759E-3</v>
      </c>
      <c r="I168" s="6">
        <f t="shared" si="28"/>
        <v>0.1816005035645597</v>
      </c>
      <c r="J168" s="1">
        <f t="shared" ca="1" si="27"/>
        <v>2.4898960195405895</v>
      </c>
      <c r="K168" s="1">
        <f t="shared" ca="1" si="25"/>
        <v>0.45216637097196383</v>
      </c>
    </row>
    <row r="169" spans="2:11" x14ac:dyDescent="0.25">
      <c r="D169" s="4" t="s">
        <v>39</v>
      </c>
      <c r="F169">
        <f>Definitions!G$5</f>
        <v>0.15133278303612252</v>
      </c>
      <c r="G169">
        <f>Definitions!G$16</f>
        <v>2.1710458408319436E-2</v>
      </c>
      <c r="H169">
        <f>Definitions!G$33</f>
        <v>7.3226734992402288E-5</v>
      </c>
      <c r="I169" s="6">
        <f t="shared" si="28"/>
        <v>0.17311646817943435</v>
      </c>
      <c r="J169" s="1">
        <f t="shared" ca="1" si="27"/>
        <v>5.7941347793859777</v>
      </c>
      <c r="K169" s="1">
        <f t="shared" ca="1" si="25"/>
        <v>1.0030601491629265</v>
      </c>
    </row>
    <row r="170" spans="2:11" x14ac:dyDescent="0.25">
      <c r="D170" s="4" t="s">
        <v>40</v>
      </c>
      <c r="F170">
        <f>Definitions!G$5</f>
        <v>0.15133278303612252</v>
      </c>
      <c r="G170">
        <f>Definitions!G$16</f>
        <v>2.1710458408319436E-2</v>
      </c>
      <c r="H170">
        <f>Definitions!G$34</f>
        <v>8.557262120117759E-3</v>
      </c>
      <c r="I170" s="6">
        <f t="shared" si="28"/>
        <v>0.1816005035645597</v>
      </c>
      <c r="J170" s="1">
        <f t="shared" ca="1" si="27"/>
        <v>7.6606484203970044</v>
      </c>
      <c r="K170" s="1">
        <f t="shared" ca="1" si="25"/>
        <v>1.3911776107751448</v>
      </c>
    </row>
    <row r="171" spans="2:11" x14ac:dyDescent="0.25">
      <c r="B171" s="4"/>
      <c r="C171" s="4" t="s">
        <v>28</v>
      </c>
      <c r="D171" s="4" t="s">
        <v>19</v>
      </c>
      <c r="F171">
        <f>Definitions!G$5</f>
        <v>0.15133278303612252</v>
      </c>
      <c r="G171">
        <f>Definitions!G$17</f>
        <v>8.4805222095781527E-4</v>
      </c>
      <c r="I171" s="6">
        <f t="shared" ref="I171" si="33">IF(1-(SUM(I172:I181))&lt;0,0,1-(SUM(I172:I181)))</f>
        <v>0</v>
      </c>
      <c r="J171" s="1">
        <f t="shared" ca="1" si="27"/>
        <v>1.6923784380390452</v>
      </c>
      <c r="K171" s="1">
        <f t="shared" ca="1" si="25"/>
        <v>0</v>
      </c>
    </row>
    <row r="172" spans="2:11" x14ac:dyDescent="0.25">
      <c r="D172" s="4" t="s">
        <v>32</v>
      </c>
      <c r="F172">
        <f>Definitions!G$5</f>
        <v>0.15133278303612252</v>
      </c>
      <c r="G172">
        <f>Definitions!G$17</f>
        <v>8.4805222095781527E-4</v>
      </c>
      <c r="H172">
        <f>Definitions!G$25</f>
        <v>8.557262120117759E-3</v>
      </c>
      <c r="I172" s="6">
        <f t="shared" si="30"/>
        <v>0.1607380973771981</v>
      </c>
      <c r="J172" s="1">
        <f t="shared" ca="1" si="27"/>
        <v>5.4520404460369409</v>
      </c>
      <c r="K172" s="1">
        <f t="shared" ca="1" si="25"/>
        <v>0.87635060811950838</v>
      </c>
    </row>
    <row r="173" spans="2:11" x14ac:dyDescent="0.25">
      <c r="D173" s="4" t="s">
        <v>25</v>
      </c>
      <c r="F173">
        <f>Definitions!G$5</f>
        <v>0.15133278303612252</v>
      </c>
      <c r="G173">
        <f>Definitions!G$17</f>
        <v>8.4805222095781527E-4</v>
      </c>
      <c r="H173">
        <f>Definitions!G$26</f>
        <v>7.3226734992402288E-5</v>
      </c>
      <c r="I173" s="6">
        <f t="shared" si="30"/>
        <v>0.15225406199207275</v>
      </c>
      <c r="J173" s="1">
        <f t="shared" ca="1" si="27"/>
        <v>4.5665582747021141</v>
      </c>
      <c r="K173" s="1">
        <f t="shared" ca="1" si="25"/>
        <v>0.69527704664690848</v>
      </c>
    </row>
    <row r="174" spans="2:11" x14ac:dyDescent="0.25">
      <c r="D174" s="4" t="s">
        <v>33</v>
      </c>
      <c r="F174">
        <f>Definitions!G$5</f>
        <v>0.15133278303612252</v>
      </c>
      <c r="G174">
        <f>Definitions!G$17</f>
        <v>8.4805222095781527E-4</v>
      </c>
      <c r="H174">
        <f>Definitions!G$27</f>
        <v>6.266203655303857E-7</v>
      </c>
      <c r="I174" s="6">
        <f t="shared" si="30"/>
        <v>0.15218146187744588</v>
      </c>
      <c r="J174" s="1">
        <f t="shared" ca="1" si="27"/>
        <v>3.3815414107149158</v>
      </c>
      <c r="K174" s="1">
        <f t="shared" ca="1" si="25"/>
        <v>0.51460791528171657</v>
      </c>
    </row>
    <row r="175" spans="2:11" x14ac:dyDescent="0.25">
      <c r="D175" s="4" t="s">
        <v>34</v>
      </c>
      <c r="F175">
        <f>Definitions!G$5</f>
        <v>0.15133278303612252</v>
      </c>
      <c r="G175">
        <f>Definitions!G$17</f>
        <v>8.4805222095781527E-4</v>
      </c>
      <c r="H175">
        <f>Definitions!G$28</f>
        <v>5.3621547176475137E-9</v>
      </c>
      <c r="I175" s="6">
        <f t="shared" si="30"/>
        <v>0.15218084061923506</v>
      </c>
      <c r="J175" s="1">
        <f t="shared" ca="1" si="27"/>
        <v>7.1254400297080149</v>
      </c>
      <c r="K175" s="1">
        <f t="shared" ca="1" si="25"/>
        <v>1.084355453502913</v>
      </c>
    </row>
    <row r="176" spans="2:11" x14ac:dyDescent="0.25">
      <c r="D176" s="4" t="s">
        <v>35</v>
      </c>
      <c r="F176">
        <f>Definitions!G$5</f>
        <v>0.15133278303612252</v>
      </c>
      <c r="G176">
        <f>Definitions!G$17</f>
        <v>8.4805222095781527E-4</v>
      </c>
      <c r="H176">
        <f>Definitions!G$29</f>
        <v>8.557262120117759E-3</v>
      </c>
      <c r="I176" s="6">
        <f t="shared" si="30"/>
        <v>0.1607380973771981</v>
      </c>
      <c r="J176" s="1">
        <f t="shared" ca="1" si="27"/>
        <v>4.4936274300216752</v>
      </c>
      <c r="K176" s="1">
        <f t="shared" ca="1" si="25"/>
        <v>0.72229712342367247</v>
      </c>
    </row>
    <row r="177" spans="2:11" x14ac:dyDescent="0.25">
      <c r="D177" s="4" t="s">
        <v>36</v>
      </c>
      <c r="F177">
        <f>Definitions!G$5</f>
        <v>0.15133278303612252</v>
      </c>
      <c r="G177">
        <f>Definitions!G$17</f>
        <v>8.4805222095781527E-4</v>
      </c>
      <c r="H177">
        <f>Definitions!G$30</f>
        <v>7.3226734992402288E-5</v>
      </c>
      <c r="I177" s="6">
        <f t="shared" si="30"/>
        <v>0.15225406199207275</v>
      </c>
      <c r="J177" s="1">
        <f t="shared" ca="1" si="27"/>
        <v>2.0402343881273168</v>
      </c>
      <c r="K177" s="1">
        <f t="shared" ca="1" si="25"/>
        <v>0.31063397300829509</v>
      </c>
    </row>
    <row r="178" spans="2:11" x14ac:dyDescent="0.25">
      <c r="D178" s="4" t="s">
        <v>37</v>
      </c>
      <c r="F178">
        <f>Definitions!G$5</f>
        <v>0.15133278303612252</v>
      </c>
      <c r="G178">
        <f>Definitions!G$17</f>
        <v>8.4805222095781527E-4</v>
      </c>
      <c r="H178">
        <f>Definitions!G$31</f>
        <v>6.266203655303857E-7</v>
      </c>
      <c r="I178" s="6">
        <f t="shared" si="30"/>
        <v>0.15218146187744588</v>
      </c>
      <c r="J178" s="1">
        <f t="shared" ca="1" si="27"/>
        <v>8.2671222402300799</v>
      </c>
      <c r="K178" s="1">
        <f t="shared" ca="1" si="25"/>
        <v>1.2581027480377589</v>
      </c>
    </row>
    <row r="179" spans="2:11" x14ac:dyDescent="0.25">
      <c r="D179" s="4" t="s">
        <v>38</v>
      </c>
      <c r="F179">
        <f>Definitions!G$5</f>
        <v>0.15133278303612252</v>
      </c>
      <c r="G179">
        <f>Definitions!G$17</f>
        <v>8.4805222095781527E-4</v>
      </c>
      <c r="H179">
        <f>Definitions!G$32</f>
        <v>8.557262120117759E-3</v>
      </c>
      <c r="I179" s="6">
        <f t="shared" si="28"/>
        <v>0.1607380973771981</v>
      </c>
      <c r="J179" s="1">
        <f t="shared" ca="1" si="27"/>
        <v>3.5947341394188514</v>
      </c>
      <c r="K179" s="1">
        <f t="shared" ca="1" si="25"/>
        <v>0.57781072614704576</v>
      </c>
    </row>
    <row r="180" spans="2:11" x14ac:dyDescent="0.25">
      <c r="D180" s="4" t="s">
        <v>39</v>
      </c>
      <c r="F180">
        <f>Definitions!G$5</f>
        <v>0.15133278303612252</v>
      </c>
      <c r="G180">
        <f>Definitions!G$17</f>
        <v>8.4805222095781527E-4</v>
      </c>
      <c r="H180">
        <f>Definitions!G$33</f>
        <v>7.3226734992402288E-5</v>
      </c>
      <c r="I180" s="6">
        <f t="shared" si="28"/>
        <v>0.15225406199207275</v>
      </c>
      <c r="J180" s="1">
        <f t="shared" ca="1" si="27"/>
        <v>2.5722688330772767</v>
      </c>
      <c r="K180" s="1">
        <f t="shared" ca="1" si="25"/>
        <v>0.39163837837162435</v>
      </c>
    </row>
    <row r="181" spans="2:11" x14ac:dyDescent="0.25">
      <c r="D181" s="4" t="s">
        <v>40</v>
      </c>
      <c r="F181">
        <f>Definitions!G$5</f>
        <v>0.15133278303612252</v>
      </c>
      <c r="G181">
        <f>Definitions!G$17</f>
        <v>8.4805222095781527E-4</v>
      </c>
      <c r="H181">
        <f>Definitions!G$34</f>
        <v>8.557262120117759E-3</v>
      </c>
      <c r="I181" s="6">
        <f t="shared" si="28"/>
        <v>0.1607380973771981</v>
      </c>
      <c r="J181" s="1">
        <f t="shared" ca="1" si="27"/>
        <v>3.7092661629313386</v>
      </c>
      <c r="K181" s="1">
        <f t="shared" ca="1" si="25"/>
        <v>0.59622038569520341</v>
      </c>
    </row>
    <row r="182" spans="2:11" x14ac:dyDescent="0.25">
      <c r="B182" s="4"/>
      <c r="C182" s="4" t="s">
        <v>29</v>
      </c>
      <c r="D182" s="4" t="s">
        <v>19</v>
      </c>
      <c r="F182">
        <f>Definitions!G$5</f>
        <v>0.15133278303612252</v>
      </c>
      <c r="G182">
        <f>Definitions!G$18</f>
        <v>0.14734469250135696</v>
      </c>
      <c r="I182" s="6">
        <f t="shared" ref="I182" si="34">IF(1-(SUM(I183:I192))&lt;0,0,1-(SUM(I183:I192)))</f>
        <v>0</v>
      </c>
      <c r="J182" s="1">
        <f t="shared" ca="1" si="27"/>
        <v>5.0500447973432241</v>
      </c>
      <c r="K182" s="1">
        <f t="shared" ca="1" si="25"/>
        <v>0</v>
      </c>
    </row>
    <row r="183" spans="2:11" x14ac:dyDescent="0.25">
      <c r="D183" s="4" t="s">
        <v>32</v>
      </c>
      <c r="F183">
        <f>Definitions!G$5</f>
        <v>0.15133278303612252</v>
      </c>
      <c r="G183">
        <f>Definitions!G$18</f>
        <v>0.14734469250135696</v>
      </c>
      <c r="H183">
        <f>Definitions!G$25</f>
        <v>8.557262120117759E-3</v>
      </c>
      <c r="I183" s="6">
        <f t="shared" si="30"/>
        <v>0.30723473765759723</v>
      </c>
      <c r="J183" s="1">
        <f t="shared" ca="1" si="27"/>
        <v>0.66561143667520417</v>
      </c>
      <c r="K183" s="1">
        <f t="shared" ca="1" si="25"/>
        <v>0.20449895512880276</v>
      </c>
    </row>
    <row r="184" spans="2:11" x14ac:dyDescent="0.25">
      <c r="D184" s="4" t="s">
        <v>25</v>
      </c>
      <c r="F184">
        <f>Definitions!G$5</f>
        <v>0.15133278303612252</v>
      </c>
      <c r="G184">
        <f>Definitions!G$18</f>
        <v>0.14734469250135696</v>
      </c>
      <c r="H184">
        <f>Definitions!G$26</f>
        <v>7.3226734992402288E-5</v>
      </c>
      <c r="I184" s="6">
        <f t="shared" si="30"/>
        <v>0.29875070227247186</v>
      </c>
      <c r="J184" s="1">
        <f t="shared" ca="1" si="27"/>
        <v>5.1626767489355645</v>
      </c>
      <c r="K184" s="1">
        <f t="shared" ca="1" si="25"/>
        <v>1.5423533043502617</v>
      </c>
    </row>
    <row r="185" spans="2:11" x14ac:dyDescent="0.25">
      <c r="D185" s="4" t="s">
        <v>33</v>
      </c>
      <c r="F185">
        <f>Definitions!G$5</f>
        <v>0.15133278303612252</v>
      </c>
      <c r="G185">
        <f>Definitions!G$18</f>
        <v>0.14734469250135696</v>
      </c>
      <c r="H185">
        <f>Definitions!G$27</f>
        <v>6.266203655303857E-7</v>
      </c>
      <c r="I185" s="6">
        <f t="shared" si="30"/>
        <v>0.29867810215784502</v>
      </c>
      <c r="J185" s="1">
        <f t="shared" ca="1" si="27"/>
        <v>4.7079422377319373</v>
      </c>
      <c r="K185" s="1">
        <f t="shared" ca="1" si="25"/>
        <v>1.406159252634533</v>
      </c>
    </row>
    <row r="186" spans="2:11" x14ac:dyDescent="0.25">
      <c r="D186" s="4" t="s">
        <v>34</v>
      </c>
      <c r="F186">
        <f>Definitions!G$5</f>
        <v>0.15133278303612252</v>
      </c>
      <c r="G186">
        <f>Definitions!G$18</f>
        <v>0.14734469250135696</v>
      </c>
      <c r="H186">
        <f>Definitions!G$28</f>
        <v>5.3621547176475137E-9</v>
      </c>
      <c r="I186" s="6">
        <f t="shared" si="30"/>
        <v>0.2986774808996342</v>
      </c>
      <c r="J186" s="1">
        <f t="shared" ca="1" si="27"/>
        <v>2.0119309384555493</v>
      </c>
      <c r="K186" s="1">
        <f t="shared" ca="1" si="25"/>
        <v>0.60091846444194041</v>
      </c>
    </row>
    <row r="187" spans="2:11" x14ac:dyDescent="0.25">
      <c r="D187" s="4" t="s">
        <v>35</v>
      </c>
      <c r="F187">
        <f>Definitions!G$5</f>
        <v>0.15133278303612252</v>
      </c>
      <c r="G187">
        <f>Definitions!G$18</f>
        <v>0.14734469250135696</v>
      </c>
      <c r="H187">
        <f>Definitions!G$29</f>
        <v>8.557262120117759E-3</v>
      </c>
      <c r="I187" s="6">
        <f t="shared" si="30"/>
        <v>0.30723473765759723</v>
      </c>
      <c r="J187" s="1">
        <f t="shared" ca="1" si="27"/>
        <v>2.9816862317325628</v>
      </c>
      <c r="K187" s="1">
        <f t="shared" ca="1" si="25"/>
        <v>0.91607758718362364</v>
      </c>
    </row>
    <row r="188" spans="2:11" x14ac:dyDescent="0.25">
      <c r="D188" s="4" t="s">
        <v>36</v>
      </c>
      <c r="F188">
        <f>Definitions!G$5</f>
        <v>0.15133278303612252</v>
      </c>
      <c r="G188">
        <f>Definitions!G$18</f>
        <v>0.14734469250135696</v>
      </c>
      <c r="H188">
        <f>Definitions!G$30</f>
        <v>7.3226734992402288E-5</v>
      </c>
      <c r="I188" s="6">
        <f t="shared" si="30"/>
        <v>0.29875070227247186</v>
      </c>
      <c r="J188" s="1">
        <f t="shared" ca="1" si="27"/>
        <v>1.5000488161260481</v>
      </c>
      <c r="K188" s="1">
        <f t="shared" ca="1" si="25"/>
        <v>0.4481406372606469</v>
      </c>
    </row>
    <row r="189" spans="2:11" x14ac:dyDescent="0.25">
      <c r="D189" s="4" t="s">
        <v>37</v>
      </c>
      <c r="F189">
        <f>Definitions!G$5</f>
        <v>0.15133278303612252</v>
      </c>
      <c r="G189">
        <f>Definitions!G$18</f>
        <v>0.14734469250135696</v>
      </c>
      <c r="H189">
        <f>Definitions!G$31</f>
        <v>6.266203655303857E-7</v>
      </c>
      <c r="I189" s="6">
        <f t="shared" si="30"/>
        <v>0.29867810215784502</v>
      </c>
      <c r="J189" s="1">
        <f t="shared" ca="1" si="27"/>
        <v>4.5927045282163004</v>
      </c>
      <c r="K189" s="1">
        <f t="shared" ca="1" si="25"/>
        <v>1.3717402722593857</v>
      </c>
    </row>
    <row r="190" spans="2:11" x14ac:dyDescent="0.25">
      <c r="D190" s="4" t="s">
        <v>38</v>
      </c>
      <c r="F190">
        <f>Definitions!G$5</f>
        <v>0.15133278303612252</v>
      </c>
      <c r="G190">
        <f>Definitions!G$18</f>
        <v>0.14734469250135696</v>
      </c>
      <c r="H190">
        <f>Definitions!G$32</f>
        <v>8.557262120117759E-3</v>
      </c>
      <c r="I190" s="6">
        <f t="shared" si="28"/>
        <v>0.30723473765759723</v>
      </c>
      <c r="J190" s="1">
        <f t="shared" ca="1" si="27"/>
        <v>6.1059388500883323</v>
      </c>
      <c r="K190" s="1">
        <f t="shared" ref="K190:K253" ca="1" si="35">I190*J190</f>
        <v>1.8759565207602198</v>
      </c>
    </row>
    <row r="191" spans="2:11" x14ac:dyDescent="0.25">
      <c r="D191" s="4" t="s">
        <v>39</v>
      </c>
      <c r="F191">
        <f>Definitions!G$5</f>
        <v>0.15133278303612252</v>
      </c>
      <c r="G191">
        <f>Definitions!G$18</f>
        <v>0.14734469250135696</v>
      </c>
      <c r="H191">
        <f>Definitions!G$33</f>
        <v>7.3226734992402288E-5</v>
      </c>
      <c r="I191" s="6">
        <f t="shared" si="28"/>
        <v>0.29875070227247186</v>
      </c>
      <c r="J191" s="1">
        <f t="shared" ref="J191:J254" ca="1" si="36">_xlfn.NORM.INV(RAND(),4,2)</f>
        <v>4.532271230778008</v>
      </c>
      <c r="K191" s="1">
        <f t="shared" ca="1" si="35"/>
        <v>1.3540192130842503</v>
      </c>
    </row>
    <row r="192" spans="2:11" x14ac:dyDescent="0.25">
      <c r="D192" s="4" t="s">
        <v>40</v>
      </c>
      <c r="F192">
        <f>Definitions!G$5</f>
        <v>0.15133278303612252</v>
      </c>
      <c r="G192">
        <f>Definitions!G$18</f>
        <v>0.14734469250135696</v>
      </c>
      <c r="H192">
        <f>Definitions!G$34</f>
        <v>8.557262120117759E-3</v>
      </c>
      <c r="I192" s="6">
        <f t="shared" si="28"/>
        <v>0.30723473765759723</v>
      </c>
      <c r="J192" s="1">
        <f t="shared" ca="1" si="36"/>
        <v>6.3713116402203145</v>
      </c>
      <c r="K192" s="1">
        <f t="shared" ca="1" si="35"/>
        <v>1.9574882603178838</v>
      </c>
    </row>
    <row r="193" spans="2:11" x14ac:dyDescent="0.25">
      <c r="B193" s="4"/>
      <c r="C193" s="4" t="s">
        <v>30</v>
      </c>
      <c r="D193" s="4" t="s">
        <v>19</v>
      </c>
      <c r="F193">
        <f>Definitions!G$5</f>
        <v>0.15133278303612252</v>
      </c>
      <c r="G193">
        <f>Definitions!G$18</f>
        <v>0.14734469250135696</v>
      </c>
      <c r="I193" s="6">
        <f t="shared" ref="I193" si="37">IF(1-(SUM(I194:I203))&lt;0,0,1-(SUM(I194:I203)))</f>
        <v>0</v>
      </c>
      <c r="J193" s="1">
        <f t="shared" ca="1" si="36"/>
        <v>0.40838056665341593</v>
      </c>
      <c r="K193" s="1">
        <f t="shared" ca="1" si="35"/>
        <v>0</v>
      </c>
    </row>
    <row r="194" spans="2:11" x14ac:dyDescent="0.25">
      <c r="D194" s="4" t="s">
        <v>32</v>
      </c>
      <c r="F194">
        <f>Definitions!G$5</f>
        <v>0.15133278303612252</v>
      </c>
      <c r="G194">
        <f>Definitions!G$19</f>
        <v>5.75556680434896E-3</v>
      </c>
      <c r="H194">
        <f>Definitions!G$25</f>
        <v>8.557262120117759E-3</v>
      </c>
      <c r="I194" s="6">
        <f t="shared" si="30"/>
        <v>0.16564561196058925</v>
      </c>
      <c r="J194" s="1">
        <f t="shared" ca="1" si="36"/>
        <v>2.9474778682030616</v>
      </c>
      <c r="K194" s="1">
        <f t="shared" ca="1" si="35"/>
        <v>0.48823677521878917</v>
      </c>
    </row>
    <row r="195" spans="2:11" x14ac:dyDescent="0.25">
      <c r="D195" s="4" t="s">
        <v>25</v>
      </c>
      <c r="F195">
        <f>Definitions!G$5</f>
        <v>0.15133278303612252</v>
      </c>
      <c r="G195">
        <f>Definitions!G$19</f>
        <v>5.75556680434896E-3</v>
      </c>
      <c r="H195">
        <f>Definitions!G$26</f>
        <v>7.3226734992402288E-5</v>
      </c>
      <c r="I195" s="6">
        <f t="shared" si="30"/>
        <v>0.1571615765754639</v>
      </c>
      <c r="J195" s="1">
        <f t="shared" ca="1" si="36"/>
        <v>2.2237031466485124</v>
      </c>
      <c r="K195" s="1">
        <f t="shared" ca="1" si="35"/>
        <v>0.3494806923631002</v>
      </c>
    </row>
    <row r="196" spans="2:11" x14ac:dyDescent="0.25">
      <c r="D196" s="4" t="s">
        <v>33</v>
      </c>
      <c r="F196">
        <f>Definitions!G$5</f>
        <v>0.15133278303612252</v>
      </c>
      <c r="G196">
        <f>Definitions!G$19</f>
        <v>5.75556680434896E-3</v>
      </c>
      <c r="H196">
        <f>Definitions!G$27</f>
        <v>6.266203655303857E-7</v>
      </c>
      <c r="I196" s="6">
        <f t="shared" si="30"/>
        <v>0.15708897646083703</v>
      </c>
      <c r="J196" s="1">
        <f t="shared" ca="1" si="36"/>
        <v>0.83036562523519653</v>
      </c>
      <c r="K196" s="1">
        <f t="shared" ca="1" si="35"/>
        <v>0.13044128615646</v>
      </c>
    </row>
    <row r="197" spans="2:11" x14ac:dyDescent="0.25">
      <c r="D197" s="4" t="s">
        <v>34</v>
      </c>
      <c r="F197">
        <f>Definitions!G$5</f>
        <v>0.15133278303612252</v>
      </c>
      <c r="G197">
        <f>Definitions!G$19</f>
        <v>5.75556680434896E-3</v>
      </c>
      <c r="H197">
        <f>Definitions!G$28</f>
        <v>5.3621547176475137E-9</v>
      </c>
      <c r="I197" s="6">
        <f t="shared" si="30"/>
        <v>0.15708835520262621</v>
      </c>
      <c r="J197" s="1">
        <f t="shared" ca="1" si="36"/>
        <v>5.3907245167524129</v>
      </c>
      <c r="K197" s="1">
        <f t="shared" ca="1" si="35"/>
        <v>0.8468200476871085</v>
      </c>
    </row>
    <row r="198" spans="2:11" x14ac:dyDescent="0.25">
      <c r="D198" s="4" t="s">
        <v>35</v>
      </c>
      <c r="F198">
        <f>Definitions!G$5</f>
        <v>0.15133278303612252</v>
      </c>
      <c r="G198">
        <f>Definitions!G$19</f>
        <v>5.75556680434896E-3</v>
      </c>
      <c r="H198">
        <f>Definitions!G$29</f>
        <v>8.557262120117759E-3</v>
      </c>
      <c r="I198" s="6">
        <f t="shared" si="30"/>
        <v>0.16564561196058925</v>
      </c>
      <c r="J198" s="1">
        <f t="shared" ca="1" si="36"/>
        <v>4.8872255392334267</v>
      </c>
      <c r="K198" s="1">
        <f t="shared" ca="1" si="35"/>
        <v>0.80954746523574173</v>
      </c>
    </row>
    <row r="199" spans="2:11" x14ac:dyDescent="0.25">
      <c r="D199" s="4" t="s">
        <v>36</v>
      </c>
      <c r="F199">
        <f>Definitions!G$5</f>
        <v>0.15133278303612252</v>
      </c>
      <c r="G199">
        <f>Definitions!G$19</f>
        <v>5.75556680434896E-3</v>
      </c>
      <c r="H199">
        <f>Definitions!G$30</f>
        <v>7.3226734992402288E-5</v>
      </c>
      <c r="I199" s="6">
        <f t="shared" si="30"/>
        <v>0.1571615765754639</v>
      </c>
      <c r="J199" s="1">
        <f t="shared" ca="1" si="36"/>
        <v>6.2557032938871924</v>
      </c>
      <c r="K199" s="1">
        <f t="shared" ca="1" si="35"/>
        <v>0.98315619225563367</v>
      </c>
    </row>
    <row r="200" spans="2:11" x14ac:dyDescent="0.25">
      <c r="D200" s="4" t="s">
        <v>37</v>
      </c>
      <c r="F200">
        <f>Definitions!G$5</f>
        <v>0.15133278303612252</v>
      </c>
      <c r="G200">
        <f>Definitions!G$19</f>
        <v>5.75556680434896E-3</v>
      </c>
      <c r="H200">
        <f>Definitions!G$31</f>
        <v>6.266203655303857E-7</v>
      </c>
      <c r="I200" s="6">
        <f t="shared" si="30"/>
        <v>0.15708897646083703</v>
      </c>
      <c r="J200" s="1">
        <f t="shared" ca="1" si="36"/>
        <v>3.6051066381962178</v>
      </c>
      <c r="K200" s="1">
        <f t="shared" ca="1" si="35"/>
        <v>0.56632251182641291</v>
      </c>
    </row>
    <row r="201" spans="2:11" x14ac:dyDescent="0.25">
      <c r="D201" s="4" t="s">
        <v>38</v>
      </c>
      <c r="F201">
        <f>Definitions!G$5</f>
        <v>0.15133278303612252</v>
      </c>
      <c r="G201">
        <f>Definitions!G$19</f>
        <v>5.75556680434896E-3</v>
      </c>
      <c r="H201">
        <f>Definitions!G$32</f>
        <v>8.557262120117759E-3</v>
      </c>
      <c r="I201" s="6">
        <f t="shared" si="30"/>
        <v>0.16564561196058925</v>
      </c>
      <c r="J201" s="1">
        <f t="shared" ca="1" si="36"/>
        <v>5.882531847115164</v>
      </c>
      <c r="K201" s="1">
        <f t="shared" ca="1" si="35"/>
        <v>0.9744155876930467</v>
      </c>
    </row>
    <row r="202" spans="2:11" x14ac:dyDescent="0.25">
      <c r="D202" s="4" t="s">
        <v>39</v>
      </c>
      <c r="F202">
        <f>Definitions!G$5</f>
        <v>0.15133278303612252</v>
      </c>
      <c r="G202">
        <f>Definitions!G$19</f>
        <v>5.75556680434896E-3</v>
      </c>
      <c r="H202">
        <f>Definitions!G$33</f>
        <v>7.3226734992402288E-5</v>
      </c>
      <c r="I202" s="6">
        <f t="shared" si="30"/>
        <v>0.1571615765754639</v>
      </c>
      <c r="J202" s="1">
        <f t="shared" ca="1" si="36"/>
        <v>3.4870060723383709</v>
      </c>
      <c r="K202" s="1">
        <f t="shared" ca="1" si="35"/>
        <v>0.54802337185691452</v>
      </c>
    </row>
    <row r="203" spans="2:11" x14ac:dyDescent="0.25">
      <c r="D203" s="4" t="s">
        <v>40</v>
      </c>
      <c r="F203">
        <f>Definitions!G$5</f>
        <v>0.15133278303612252</v>
      </c>
      <c r="G203">
        <f>Definitions!G$19</f>
        <v>5.75556680434896E-3</v>
      </c>
      <c r="H203">
        <f>Definitions!G$34</f>
        <v>8.557262120117759E-3</v>
      </c>
      <c r="I203" s="6">
        <f t="shared" ref="I203:I258" si="38">SUM(F203+G203+H203)</f>
        <v>0.16564561196058925</v>
      </c>
      <c r="J203" s="1">
        <f t="shared" ca="1" si="36"/>
        <v>4.5700645919802287</v>
      </c>
      <c r="K203" s="1">
        <f t="shared" ca="1" si="35"/>
        <v>0.75701114603798558</v>
      </c>
    </row>
    <row r="204" spans="2:11" x14ac:dyDescent="0.25">
      <c r="B204" s="4"/>
      <c r="C204" s="4" t="s">
        <v>31</v>
      </c>
      <c r="D204" s="4" t="s">
        <v>19</v>
      </c>
      <c r="F204">
        <f>Definitions!G$5</f>
        <v>0.15133278303612252</v>
      </c>
      <c r="G204">
        <f>Definitions!G$19</f>
        <v>5.75556680434896E-3</v>
      </c>
      <c r="I204" s="6">
        <f t="shared" ref="I204" si="39">IF(1-(SUM(I205:I214))&lt;0,0,1-(SUM(I205:I214)))</f>
        <v>0</v>
      </c>
      <c r="J204" s="1">
        <f t="shared" ca="1" si="36"/>
        <v>7.8137282654388081</v>
      </c>
      <c r="K204" s="1">
        <f t="shared" ca="1" si="35"/>
        <v>0</v>
      </c>
    </row>
    <row r="205" spans="2:11" x14ac:dyDescent="0.25">
      <c r="D205" s="4" t="s">
        <v>32</v>
      </c>
      <c r="F205">
        <f>Definitions!G$5</f>
        <v>0.15133278303612252</v>
      </c>
      <c r="G205">
        <f>Definitions!G$20</f>
        <v>3.9061921448551362E-2</v>
      </c>
      <c r="H205">
        <f>Definitions!G$25</f>
        <v>8.557262120117759E-3</v>
      </c>
      <c r="I205" s="6">
        <f t="shared" ref="I205:I268" si="40">SUM(F205+G205+H205)</f>
        <v>0.19895196660479164</v>
      </c>
      <c r="J205" s="1">
        <f t="shared" ca="1" si="36"/>
        <v>5.7104330374361618</v>
      </c>
      <c r="K205" s="1">
        <f t="shared" ca="1" si="35"/>
        <v>1.1361018829628982</v>
      </c>
    </row>
    <row r="206" spans="2:11" x14ac:dyDescent="0.25">
      <c r="D206" s="4" t="s">
        <v>25</v>
      </c>
      <c r="F206">
        <f>Definitions!G$5</f>
        <v>0.15133278303612252</v>
      </c>
      <c r="G206">
        <f>Definitions!G$20</f>
        <v>3.9061921448551362E-2</v>
      </c>
      <c r="H206">
        <f>Definitions!G$26</f>
        <v>7.3226734992402288E-5</v>
      </c>
      <c r="I206" s="6">
        <f t="shared" si="40"/>
        <v>0.19046793121966629</v>
      </c>
      <c r="J206" s="1">
        <f t="shared" ca="1" si="36"/>
        <v>4.1077006944548566</v>
      </c>
      <c r="K206" s="1">
        <f t="shared" ca="1" si="35"/>
        <v>0.78238525334240305</v>
      </c>
    </row>
    <row r="207" spans="2:11" x14ac:dyDescent="0.25">
      <c r="D207" s="4" t="s">
        <v>33</v>
      </c>
      <c r="F207">
        <f>Definitions!G$5</f>
        <v>0.15133278303612252</v>
      </c>
      <c r="G207">
        <f>Definitions!G$20</f>
        <v>3.9061921448551362E-2</v>
      </c>
      <c r="H207">
        <f>Definitions!G$27</f>
        <v>6.266203655303857E-7</v>
      </c>
      <c r="I207" s="6">
        <f t="shared" si="40"/>
        <v>0.19039533110503942</v>
      </c>
      <c r="J207" s="1">
        <f t="shared" ca="1" si="36"/>
        <v>9.320249974597461</v>
      </c>
      <c r="K207" s="1">
        <f t="shared" ca="1" si="35"/>
        <v>1.7745320798952189</v>
      </c>
    </row>
    <row r="208" spans="2:11" x14ac:dyDescent="0.25">
      <c r="D208" s="4" t="s">
        <v>34</v>
      </c>
      <c r="F208">
        <f>Definitions!G$5</f>
        <v>0.15133278303612252</v>
      </c>
      <c r="G208">
        <f>Definitions!G$20</f>
        <v>3.9061921448551362E-2</v>
      </c>
      <c r="H208">
        <f>Definitions!G$28</f>
        <v>5.3621547176475137E-9</v>
      </c>
      <c r="I208" s="6">
        <f t="shared" si="40"/>
        <v>0.1903947098468286</v>
      </c>
      <c r="J208" s="1">
        <f t="shared" ca="1" si="36"/>
        <v>0.334020237520956</v>
      </c>
      <c r="K208" s="1">
        <f t="shared" ca="1" si="35"/>
        <v>6.359568620577119E-2</v>
      </c>
    </row>
    <row r="209" spans="2:11" x14ac:dyDescent="0.25">
      <c r="D209" s="4" t="s">
        <v>35</v>
      </c>
      <c r="F209">
        <f>Definitions!G$5</f>
        <v>0.15133278303612252</v>
      </c>
      <c r="G209">
        <f>Definitions!G$20</f>
        <v>3.9061921448551362E-2</v>
      </c>
      <c r="H209">
        <f>Definitions!G$29</f>
        <v>8.557262120117759E-3</v>
      </c>
      <c r="I209" s="6">
        <f t="shared" si="40"/>
        <v>0.19895196660479164</v>
      </c>
      <c r="J209" s="1">
        <f t="shared" ca="1" si="36"/>
        <v>4.2720879631209963</v>
      </c>
      <c r="K209" s="1">
        <f t="shared" ca="1" si="35"/>
        <v>0.84994030177158075</v>
      </c>
    </row>
    <row r="210" spans="2:11" x14ac:dyDescent="0.25">
      <c r="D210" s="4" t="s">
        <v>36</v>
      </c>
      <c r="F210">
        <f>Definitions!G$5</f>
        <v>0.15133278303612252</v>
      </c>
      <c r="G210">
        <f>Definitions!G$20</f>
        <v>3.9061921448551362E-2</v>
      </c>
      <c r="H210">
        <f>Definitions!G$30</f>
        <v>7.3226734992402288E-5</v>
      </c>
      <c r="I210" s="6">
        <f t="shared" si="40"/>
        <v>0.19046793121966629</v>
      </c>
      <c r="J210" s="1">
        <f t="shared" ca="1" si="36"/>
        <v>2.4714308573613701</v>
      </c>
      <c r="K210" s="1">
        <f t="shared" ca="1" si="35"/>
        <v>0.47072832255406633</v>
      </c>
    </row>
    <row r="211" spans="2:11" x14ac:dyDescent="0.25">
      <c r="D211" s="4" t="s">
        <v>37</v>
      </c>
      <c r="F211">
        <f>Definitions!G$5</f>
        <v>0.15133278303612252</v>
      </c>
      <c r="G211">
        <f>Definitions!G$20</f>
        <v>3.9061921448551362E-2</v>
      </c>
      <c r="H211">
        <f>Definitions!G$31</f>
        <v>6.266203655303857E-7</v>
      </c>
      <c r="I211" s="6">
        <f t="shared" si="40"/>
        <v>0.19039533110503942</v>
      </c>
      <c r="J211" s="1">
        <f t="shared" ca="1" si="36"/>
        <v>3.406336704946626</v>
      </c>
      <c r="K211" s="1">
        <f t="shared" ca="1" si="35"/>
        <v>0.64855060479356186</v>
      </c>
    </row>
    <row r="212" spans="2:11" x14ac:dyDescent="0.25">
      <c r="D212" s="4" t="s">
        <v>38</v>
      </c>
      <c r="F212">
        <f>Definitions!G$5</f>
        <v>0.15133278303612252</v>
      </c>
      <c r="G212">
        <f>Definitions!G$20</f>
        <v>3.9061921448551362E-2</v>
      </c>
      <c r="H212">
        <f>Definitions!G$32</f>
        <v>8.557262120117759E-3</v>
      </c>
      <c r="I212" s="6">
        <f t="shared" si="38"/>
        <v>0.19895196660479164</v>
      </c>
      <c r="J212" s="1">
        <f t="shared" ca="1" si="36"/>
        <v>3.6442592376448473</v>
      </c>
      <c r="K212" s="1">
        <f t="shared" ca="1" si="35"/>
        <v>0.7250325421471211</v>
      </c>
    </row>
    <row r="213" spans="2:11" x14ac:dyDescent="0.25">
      <c r="D213" s="4" t="s">
        <v>39</v>
      </c>
      <c r="F213">
        <f>Definitions!G$5</f>
        <v>0.15133278303612252</v>
      </c>
      <c r="G213">
        <f>Definitions!G$20</f>
        <v>3.9061921448551362E-2</v>
      </c>
      <c r="H213">
        <f>Definitions!G$33</f>
        <v>7.3226734992402288E-5</v>
      </c>
      <c r="I213" s="6">
        <f t="shared" si="38"/>
        <v>0.19046793121966629</v>
      </c>
      <c r="J213" s="1">
        <f t="shared" ca="1" si="36"/>
        <v>5.6371561083290249</v>
      </c>
      <c r="K213" s="1">
        <f t="shared" ca="1" si="35"/>
        <v>1.0736974619157345</v>
      </c>
    </row>
    <row r="214" spans="2:11" x14ac:dyDescent="0.25">
      <c r="D214" s="4" t="s">
        <v>40</v>
      </c>
      <c r="F214">
        <f>Definitions!G$5</f>
        <v>0.15133278303612252</v>
      </c>
      <c r="G214">
        <f>Definitions!G$20</f>
        <v>3.9061921448551362E-2</v>
      </c>
      <c r="H214">
        <f>Definitions!G$34</f>
        <v>8.557262120117759E-3</v>
      </c>
      <c r="I214" s="6">
        <f t="shared" si="38"/>
        <v>0.19895196660479164</v>
      </c>
      <c r="J214" s="1">
        <f t="shared" ca="1" si="36"/>
        <v>5.1593173214430426</v>
      </c>
      <c r="K214" s="1">
        <f t="shared" ca="1" si="35"/>
        <v>1.0264563274392593</v>
      </c>
    </row>
    <row r="215" spans="2:11" x14ac:dyDescent="0.25">
      <c r="B215" s="4" t="s">
        <v>20</v>
      </c>
      <c r="C215" s="4" t="s">
        <v>18</v>
      </c>
      <c r="D215" s="4" t="s">
        <v>19</v>
      </c>
      <c r="F215">
        <f>Definitions!G$6</f>
        <v>2.2901611221458132E-2</v>
      </c>
      <c r="I215" s="6">
        <f t="shared" ref="I215" si="41">IF(1-(SUM(I216:I225))&lt;0,0,1-(SUM(I216:I225)))</f>
        <v>0.73653390049708467</v>
      </c>
      <c r="J215" s="1">
        <f t="shared" ca="1" si="36"/>
        <v>4.5177521239633078</v>
      </c>
      <c r="K215" s="1">
        <f t="shared" ca="1" si="35"/>
        <v>3.3274775933416838</v>
      </c>
    </row>
    <row r="216" spans="2:11" x14ac:dyDescent="0.25">
      <c r="D216" s="4" t="s">
        <v>32</v>
      </c>
      <c r="F216">
        <f>Definitions!G$6</f>
        <v>2.2901611221458132E-2</v>
      </c>
      <c r="H216">
        <f>Definitions!G$25</f>
        <v>8.557262120117759E-3</v>
      </c>
      <c r="I216" s="6">
        <f t="shared" si="40"/>
        <v>3.1458873341575891E-2</v>
      </c>
      <c r="J216" s="1">
        <f t="shared" ca="1" si="36"/>
        <v>4.1344928259396516</v>
      </c>
      <c r="K216" s="1">
        <f t="shared" ca="1" si="35"/>
        <v>0.13006648614288968</v>
      </c>
    </row>
    <row r="217" spans="2:11" x14ac:dyDescent="0.25">
      <c r="D217" s="4" t="s">
        <v>25</v>
      </c>
      <c r="F217">
        <f>Definitions!G$6</f>
        <v>2.2901611221458132E-2</v>
      </c>
      <c r="H217">
        <f>Definitions!G$26</f>
        <v>7.3226734992402288E-5</v>
      </c>
      <c r="I217" s="6">
        <f t="shared" si="40"/>
        <v>2.2974837956450535E-2</v>
      </c>
      <c r="J217" s="1">
        <f t="shared" ca="1" si="36"/>
        <v>5.0903894550267736</v>
      </c>
      <c r="K217" s="1">
        <f t="shared" ca="1" si="35"/>
        <v>0.11695087286446468</v>
      </c>
    </row>
    <row r="218" spans="2:11" x14ac:dyDescent="0.25">
      <c r="D218" s="4" t="s">
        <v>33</v>
      </c>
      <c r="F218">
        <f>Definitions!G$6</f>
        <v>2.2901611221458132E-2</v>
      </c>
      <c r="H218">
        <f>Definitions!G$27</f>
        <v>6.266203655303857E-7</v>
      </c>
      <c r="I218" s="6">
        <f t="shared" si="40"/>
        <v>2.2902237841823662E-2</v>
      </c>
      <c r="J218" s="1">
        <f t="shared" ca="1" si="36"/>
        <v>8.0468869094964255</v>
      </c>
      <c r="K218" s="1">
        <f t="shared" ca="1" si="35"/>
        <v>0.1842917178875445</v>
      </c>
    </row>
    <row r="219" spans="2:11" x14ac:dyDescent="0.25">
      <c r="D219" s="4" t="s">
        <v>34</v>
      </c>
      <c r="F219">
        <f>Definitions!G$6</f>
        <v>2.2901611221458132E-2</v>
      </c>
      <c r="H219">
        <f>Definitions!G$28</f>
        <v>5.3621547176475137E-9</v>
      </c>
      <c r="I219" s="6">
        <f t="shared" si="40"/>
        <v>2.2901616583612849E-2</v>
      </c>
      <c r="J219" s="1">
        <f t="shared" ca="1" si="36"/>
        <v>3.5170516312639615</v>
      </c>
      <c r="K219" s="1">
        <f t="shared" ca="1" si="35"/>
        <v>8.0546167963977358E-2</v>
      </c>
    </row>
    <row r="220" spans="2:11" x14ac:dyDescent="0.25">
      <c r="D220" s="4" t="s">
        <v>35</v>
      </c>
      <c r="F220">
        <f>Definitions!G$6</f>
        <v>2.2901611221458132E-2</v>
      </c>
      <c r="H220">
        <f>Definitions!G$29</f>
        <v>8.557262120117759E-3</v>
      </c>
      <c r="I220" s="6">
        <f t="shared" si="40"/>
        <v>3.1458873341575891E-2</v>
      </c>
      <c r="J220" s="1">
        <f t="shared" ca="1" si="36"/>
        <v>1.6929765401547359</v>
      </c>
      <c r="K220" s="1">
        <f t="shared" ca="1" si="35"/>
        <v>5.3259134546987205E-2</v>
      </c>
    </row>
    <row r="221" spans="2:11" x14ac:dyDescent="0.25">
      <c r="D221" s="4" t="s">
        <v>36</v>
      </c>
      <c r="F221">
        <f>Definitions!G$6</f>
        <v>2.2901611221458132E-2</v>
      </c>
      <c r="H221">
        <f>Definitions!G$30</f>
        <v>7.3226734992402288E-5</v>
      </c>
      <c r="I221" s="6">
        <f t="shared" si="40"/>
        <v>2.2974837956450535E-2</v>
      </c>
      <c r="J221" s="1">
        <f t="shared" ca="1" si="36"/>
        <v>2.0712237981467361</v>
      </c>
      <c r="K221" s="1">
        <f t="shared" ca="1" si="35"/>
        <v>4.758603113396527E-2</v>
      </c>
    </row>
    <row r="222" spans="2:11" x14ac:dyDescent="0.25">
      <c r="D222" s="4" t="s">
        <v>37</v>
      </c>
      <c r="F222">
        <f>Definitions!G$6</f>
        <v>2.2901611221458132E-2</v>
      </c>
      <c r="H222">
        <f>Definitions!G$31</f>
        <v>6.266203655303857E-7</v>
      </c>
      <c r="I222" s="6">
        <f t="shared" si="40"/>
        <v>2.2902237841823662E-2</v>
      </c>
      <c r="J222" s="1">
        <f t="shared" ca="1" si="36"/>
        <v>1.3681884150545707</v>
      </c>
      <c r="K222" s="1">
        <f t="shared" ca="1" si="35"/>
        <v>3.1334576494007525E-2</v>
      </c>
    </row>
    <row r="223" spans="2:11" x14ac:dyDescent="0.25">
      <c r="D223" s="4" t="s">
        <v>38</v>
      </c>
      <c r="F223">
        <f>Definitions!G$6</f>
        <v>2.2901611221458132E-2</v>
      </c>
      <c r="H223">
        <f>Definitions!G$32</f>
        <v>8.557262120117759E-3</v>
      </c>
      <c r="I223" s="6">
        <f t="shared" si="38"/>
        <v>3.1458873341575891E-2</v>
      </c>
      <c r="J223" s="1">
        <f t="shared" ca="1" si="36"/>
        <v>4.7725640665523317</v>
      </c>
      <c r="K223" s="1">
        <f t="shared" ca="1" si="35"/>
        <v>0.15013948848422617</v>
      </c>
    </row>
    <row r="224" spans="2:11" x14ac:dyDescent="0.25">
      <c r="D224" s="4" t="s">
        <v>39</v>
      </c>
      <c r="F224">
        <f>Definitions!G$6</f>
        <v>2.2901611221458132E-2</v>
      </c>
      <c r="H224">
        <f>Definitions!G$33</f>
        <v>7.3226734992402288E-5</v>
      </c>
      <c r="I224" s="6">
        <f t="shared" si="38"/>
        <v>2.2974837956450535E-2</v>
      </c>
      <c r="J224" s="1">
        <f t="shared" ca="1" si="36"/>
        <v>1.756336269561094</v>
      </c>
      <c r="K224" s="1">
        <f t="shared" ca="1" si="35"/>
        <v>4.0351541190202962E-2</v>
      </c>
    </row>
    <row r="225" spans="2:11" x14ac:dyDescent="0.25">
      <c r="D225" s="4" t="s">
        <v>40</v>
      </c>
      <c r="F225">
        <f>Definitions!G$6</f>
        <v>2.2901611221458132E-2</v>
      </c>
      <c r="H225">
        <f>Definitions!G$34</f>
        <v>8.557262120117759E-3</v>
      </c>
      <c r="I225" s="6">
        <f t="shared" si="38"/>
        <v>3.1458873341575891E-2</v>
      </c>
      <c r="J225" s="1">
        <f t="shared" ca="1" si="36"/>
        <v>4.6062293093525577</v>
      </c>
      <c r="K225" s="1">
        <f t="shared" ca="1" si="35"/>
        <v>0.14490678442517671</v>
      </c>
    </row>
    <row r="226" spans="2:11" x14ac:dyDescent="0.25">
      <c r="B226" s="4"/>
      <c r="C226" s="4" t="s">
        <v>26</v>
      </c>
      <c r="D226" s="4" t="s">
        <v>19</v>
      </c>
      <c r="F226">
        <f>Definitions!G$6</f>
        <v>2.2901611221458132E-2</v>
      </c>
      <c r="G226">
        <f>Definitions!G$15</f>
        <v>0.14734469250135696</v>
      </c>
      <c r="I226" s="6">
        <f t="shared" ref="I226" si="42">IF(1-(SUM(I227:I236))&lt;0,0,1-(SUM(I227:I236)))</f>
        <v>0</v>
      </c>
      <c r="J226" s="1">
        <f t="shared" ca="1" si="36"/>
        <v>6.5631091503716306</v>
      </c>
      <c r="K226" s="1">
        <f t="shared" ca="1" si="35"/>
        <v>0</v>
      </c>
    </row>
    <row r="227" spans="2:11" x14ac:dyDescent="0.25">
      <c r="D227" s="4" t="s">
        <v>32</v>
      </c>
      <c r="F227">
        <f>Definitions!G$6</f>
        <v>2.2901611221458132E-2</v>
      </c>
      <c r="G227">
        <f>Definitions!G$15</f>
        <v>0.14734469250135696</v>
      </c>
      <c r="H227">
        <f>Definitions!G$25</f>
        <v>8.557262120117759E-3</v>
      </c>
      <c r="I227" s="6">
        <f t="shared" si="40"/>
        <v>0.17880356584293283</v>
      </c>
      <c r="J227" s="1">
        <f t="shared" ca="1" si="36"/>
        <v>1.6425757146664517</v>
      </c>
      <c r="K227" s="1">
        <f t="shared" ca="1" si="35"/>
        <v>0.29369839494936534</v>
      </c>
    </row>
    <row r="228" spans="2:11" x14ac:dyDescent="0.25">
      <c r="D228" s="4" t="s">
        <v>25</v>
      </c>
      <c r="F228">
        <f>Definitions!G$6</f>
        <v>2.2901611221458132E-2</v>
      </c>
      <c r="G228">
        <f>Definitions!G$15</f>
        <v>0.14734469250135696</v>
      </c>
      <c r="H228">
        <f>Definitions!G$26</f>
        <v>7.3226734992402288E-5</v>
      </c>
      <c r="I228" s="6">
        <f t="shared" si="40"/>
        <v>0.17031953045780748</v>
      </c>
      <c r="J228" s="1">
        <f t="shared" ca="1" si="36"/>
        <v>3.9165325432794327</v>
      </c>
      <c r="K228" s="1">
        <f t="shared" ca="1" si="35"/>
        <v>0.66706198379407555</v>
      </c>
    </row>
    <row r="229" spans="2:11" x14ac:dyDescent="0.25">
      <c r="D229" s="4" t="s">
        <v>33</v>
      </c>
      <c r="F229">
        <f>Definitions!G$6</f>
        <v>2.2901611221458132E-2</v>
      </c>
      <c r="G229">
        <f>Definitions!G$15</f>
        <v>0.14734469250135696</v>
      </c>
      <c r="H229">
        <f>Definitions!G$27</f>
        <v>6.266203655303857E-7</v>
      </c>
      <c r="I229" s="6">
        <f t="shared" si="40"/>
        <v>0.17024693034318061</v>
      </c>
      <c r="J229" s="1">
        <f t="shared" ca="1" si="36"/>
        <v>6.0294444699194285</v>
      </c>
      <c r="K229" s="1">
        <f t="shared" ca="1" si="35"/>
        <v>1.0264944126784485</v>
      </c>
    </row>
    <row r="230" spans="2:11" x14ac:dyDescent="0.25">
      <c r="D230" s="4" t="s">
        <v>34</v>
      </c>
      <c r="F230">
        <f>Definitions!G$6</f>
        <v>2.2901611221458132E-2</v>
      </c>
      <c r="G230">
        <f>Definitions!G$15</f>
        <v>0.14734469250135696</v>
      </c>
      <c r="H230">
        <f>Definitions!G$28</f>
        <v>5.3621547176475137E-9</v>
      </c>
      <c r="I230" s="6">
        <f t="shared" si="40"/>
        <v>0.17024630908496979</v>
      </c>
      <c r="J230" s="1">
        <f t="shared" ca="1" si="36"/>
        <v>5.7252175462476629</v>
      </c>
      <c r="K230" s="1">
        <f t="shared" ca="1" si="35"/>
        <v>0.97469715595717199</v>
      </c>
    </row>
    <row r="231" spans="2:11" x14ac:dyDescent="0.25">
      <c r="D231" s="4" t="s">
        <v>35</v>
      </c>
      <c r="F231">
        <f>Definitions!G$6</f>
        <v>2.2901611221458132E-2</v>
      </c>
      <c r="G231">
        <f>Definitions!G$15</f>
        <v>0.14734469250135696</v>
      </c>
      <c r="H231">
        <f>Definitions!G$29</f>
        <v>8.557262120117759E-3</v>
      </c>
      <c r="I231" s="6">
        <f t="shared" si="40"/>
        <v>0.17880356584293283</v>
      </c>
      <c r="J231" s="1">
        <f t="shared" ca="1" si="36"/>
        <v>6.490856840012512</v>
      </c>
      <c r="K231" s="1">
        <f t="shared" ca="1" si="35"/>
        <v>1.1605883483702282</v>
      </c>
    </row>
    <row r="232" spans="2:11" x14ac:dyDescent="0.25">
      <c r="D232" s="4" t="s">
        <v>36</v>
      </c>
      <c r="F232">
        <f>Definitions!G$6</f>
        <v>2.2901611221458132E-2</v>
      </c>
      <c r="G232">
        <f>Definitions!G$15</f>
        <v>0.14734469250135696</v>
      </c>
      <c r="H232">
        <f>Definitions!G$30</f>
        <v>7.3226734992402288E-5</v>
      </c>
      <c r="I232" s="6">
        <f t="shared" si="40"/>
        <v>0.17031953045780748</v>
      </c>
      <c r="J232" s="1">
        <f t="shared" ca="1" si="36"/>
        <v>2.5335502478986625</v>
      </c>
      <c r="K232" s="1">
        <f t="shared" ca="1" si="35"/>
        <v>0.43151308861336196</v>
      </c>
    </row>
    <row r="233" spans="2:11" x14ac:dyDescent="0.25">
      <c r="D233" s="4" t="s">
        <v>37</v>
      </c>
      <c r="F233">
        <f>Definitions!G$6</f>
        <v>2.2901611221458132E-2</v>
      </c>
      <c r="G233">
        <f>Definitions!G$15</f>
        <v>0.14734469250135696</v>
      </c>
      <c r="H233">
        <f>Definitions!G$31</f>
        <v>6.266203655303857E-7</v>
      </c>
      <c r="I233" s="6">
        <f t="shared" si="40"/>
        <v>0.17024693034318061</v>
      </c>
      <c r="J233" s="1">
        <f t="shared" ca="1" si="36"/>
        <v>3.9798813350435993</v>
      </c>
      <c r="K233" s="1">
        <f t="shared" ca="1" si="35"/>
        <v>0.67756258042129236</v>
      </c>
    </row>
    <row r="234" spans="2:11" x14ac:dyDescent="0.25">
      <c r="D234" s="4" t="s">
        <v>38</v>
      </c>
      <c r="F234">
        <f>Definitions!G$6</f>
        <v>2.2901611221458132E-2</v>
      </c>
      <c r="G234">
        <f>Definitions!G$15</f>
        <v>0.14734469250135696</v>
      </c>
      <c r="H234">
        <f>Definitions!G$32</f>
        <v>8.557262120117759E-3</v>
      </c>
      <c r="I234" s="6">
        <f t="shared" si="38"/>
        <v>0.17880356584293283</v>
      </c>
      <c r="J234" s="1">
        <f t="shared" ca="1" si="36"/>
        <v>1.087660125671587</v>
      </c>
      <c r="K234" s="1">
        <f t="shared" ca="1" si="35"/>
        <v>0.1944775088952522</v>
      </c>
    </row>
    <row r="235" spans="2:11" x14ac:dyDescent="0.25">
      <c r="D235" s="4" t="s">
        <v>39</v>
      </c>
      <c r="F235">
        <f>Definitions!G$6</f>
        <v>2.2901611221458132E-2</v>
      </c>
      <c r="G235">
        <f>Definitions!G$15</f>
        <v>0.14734469250135696</v>
      </c>
      <c r="H235">
        <f>Definitions!G$33</f>
        <v>7.3226734992402288E-5</v>
      </c>
      <c r="I235" s="6">
        <f t="shared" si="38"/>
        <v>0.17031953045780748</v>
      </c>
      <c r="J235" s="1">
        <f t="shared" ca="1" si="36"/>
        <v>1.6131849517334995</v>
      </c>
      <c r="K235" s="1">
        <f t="shared" ca="1" si="35"/>
        <v>0.27475690352085047</v>
      </c>
    </row>
    <row r="236" spans="2:11" x14ac:dyDescent="0.25">
      <c r="D236" s="4" t="s">
        <v>40</v>
      </c>
      <c r="F236">
        <f>Definitions!G$6</f>
        <v>2.2901611221458132E-2</v>
      </c>
      <c r="G236">
        <f>Definitions!G$15</f>
        <v>0.14734469250135696</v>
      </c>
      <c r="H236">
        <f>Definitions!G$34</f>
        <v>8.557262120117759E-3</v>
      </c>
      <c r="I236" s="6">
        <f t="shared" si="38"/>
        <v>0.17880356584293283</v>
      </c>
      <c r="J236" s="1">
        <f t="shared" ca="1" si="36"/>
        <v>5.2852344217421443</v>
      </c>
      <c r="K236" s="1">
        <f t="shared" ca="1" si="35"/>
        <v>0.9450187609233065</v>
      </c>
    </row>
    <row r="237" spans="2:11" x14ac:dyDescent="0.25">
      <c r="B237" s="4"/>
      <c r="C237" s="4" t="s">
        <v>27</v>
      </c>
      <c r="D237" s="4" t="s">
        <v>19</v>
      </c>
      <c r="F237">
        <f>Definitions!G$6</f>
        <v>2.2901611221458132E-2</v>
      </c>
      <c r="G237">
        <f>Definitions!G$16</f>
        <v>2.1710458408319436E-2</v>
      </c>
      <c r="I237" s="6">
        <f t="shared" ref="I237" si="43">IF(1-(SUM(I238:I247))&lt;0,0,1-(SUM(I238:I247)))</f>
        <v>0.51942931641389034</v>
      </c>
      <c r="J237" s="1">
        <f t="shared" ca="1" si="36"/>
        <v>5.0648285400741306</v>
      </c>
      <c r="K237" s="1">
        <f t="shared" ca="1" si="35"/>
        <v>2.6308204263242678</v>
      </c>
    </row>
    <row r="238" spans="2:11" x14ac:dyDescent="0.25">
      <c r="D238" s="4" t="s">
        <v>32</v>
      </c>
      <c r="F238">
        <f>Definitions!G$6</f>
        <v>2.2901611221458132E-2</v>
      </c>
      <c r="G238">
        <f>Definitions!G$16</f>
        <v>2.1710458408319436E-2</v>
      </c>
      <c r="H238">
        <f>Definitions!G$25</f>
        <v>8.557262120117759E-3</v>
      </c>
      <c r="I238" s="6">
        <f t="shared" si="40"/>
        <v>5.3169331749895327E-2</v>
      </c>
      <c r="J238" s="1">
        <f t="shared" ca="1" si="36"/>
        <v>6.2455325010480394</v>
      </c>
      <c r="K238" s="1">
        <f t="shared" ca="1" si="35"/>
        <v>0.33207078950297669</v>
      </c>
    </row>
    <row r="239" spans="2:11" x14ac:dyDescent="0.25">
      <c r="D239" s="4" t="s">
        <v>25</v>
      </c>
      <c r="F239">
        <f>Definitions!G$6</f>
        <v>2.2901611221458132E-2</v>
      </c>
      <c r="G239">
        <f>Definitions!G$16</f>
        <v>2.1710458408319436E-2</v>
      </c>
      <c r="H239">
        <f>Definitions!G$26</f>
        <v>7.3226734992402288E-5</v>
      </c>
      <c r="I239" s="6">
        <f t="shared" si="40"/>
        <v>4.4685296364769971E-2</v>
      </c>
      <c r="J239" s="1">
        <f t="shared" ca="1" si="36"/>
        <v>6.1696394052421351</v>
      </c>
      <c r="K239" s="1">
        <f t="shared" ca="1" si="35"/>
        <v>0.27569216528700796</v>
      </c>
    </row>
    <row r="240" spans="2:11" x14ac:dyDescent="0.25">
      <c r="D240" s="4" t="s">
        <v>33</v>
      </c>
      <c r="F240">
        <f>Definitions!G$6</f>
        <v>2.2901611221458132E-2</v>
      </c>
      <c r="G240">
        <f>Definitions!G$16</f>
        <v>2.1710458408319436E-2</v>
      </c>
      <c r="H240">
        <f>Definitions!G$27</f>
        <v>6.266203655303857E-7</v>
      </c>
      <c r="I240" s="6">
        <f t="shared" si="40"/>
        <v>4.4612696250143101E-2</v>
      </c>
      <c r="J240" s="1">
        <f t="shared" ca="1" si="36"/>
        <v>3.7592693263442269</v>
      </c>
      <c r="K240" s="1">
        <f t="shared" ca="1" si="35"/>
        <v>0.16771114057867509</v>
      </c>
    </row>
    <row r="241" spans="2:11" x14ac:dyDescent="0.25">
      <c r="D241" s="4" t="s">
        <v>34</v>
      </c>
      <c r="F241">
        <f>Definitions!G$6</f>
        <v>2.2901611221458132E-2</v>
      </c>
      <c r="G241">
        <f>Definitions!G$16</f>
        <v>2.1710458408319436E-2</v>
      </c>
      <c r="H241">
        <f>Definitions!G$28</f>
        <v>5.3621547176475137E-9</v>
      </c>
      <c r="I241" s="6">
        <f t="shared" si="40"/>
        <v>4.4612074991932288E-2</v>
      </c>
      <c r="J241" s="1">
        <f t="shared" ca="1" si="36"/>
        <v>2.1738719004607714</v>
      </c>
      <c r="K241" s="1">
        <f t="shared" ca="1" si="35"/>
        <v>9.6980936246210292E-2</v>
      </c>
    </row>
    <row r="242" spans="2:11" x14ac:dyDescent="0.25">
      <c r="D242" s="4" t="s">
        <v>35</v>
      </c>
      <c r="F242">
        <f>Definitions!G$6</f>
        <v>2.2901611221458132E-2</v>
      </c>
      <c r="G242">
        <f>Definitions!G$16</f>
        <v>2.1710458408319436E-2</v>
      </c>
      <c r="H242">
        <f>Definitions!G$29</f>
        <v>8.557262120117759E-3</v>
      </c>
      <c r="I242" s="6">
        <f t="shared" si="40"/>
        <v>5.3169331749895327E-2</v>
      </c>
      <c r="J242" s="1">
        <f t="shared" ca="1" si="36"/>
        <v>3.8946011240129321</v>
      </c>
      <c r="K242" s="1">
        <f t="shared" ca="1" si="35"/>
        <v>0.20707333919615881</v>
      </c>
    </row>
    <row r="243" spans="2:11" x14ac:dyDescent="0.25">
      <c r="D243" s="4" t="s">
        <v>36</v>
      </c>
      <c r="F243">
        <f>Definitions!G$6</f>
        <v>2.2901611221458132E-2</v>
      </c>
      <c r="G243">
        <f>Definitions!G$16</f>
        <v>2.1710458408319436E-2</v>
      </c>
      <c r="H243">
        <f>Definitions!G$30</f>
        <v>7.3226734992402288E-5</v>
      </c>
      <c r="I243" s="6">
        <f t="shared" si="40"/>
        <v>4.4685296364769971E-2</v>
      </c>
      <c r="J243" s="1">
        <f t="shared" ca="1" si="36"/>
        <v>1.0595689405128232</v>
      </c>
      <c r="K243" s="1">
        <f t="shared" ca="1" si="35"/>
        <v>4.7347152125720833E-2</v>
      </c>
    </row>
    <row r="244" spans="2:11" x14ac:dyDescent="0.25">
      <c r="D244" s="4" t="s">
        <v>37</v>
      </c>
      <c r="F244">
        <f>Definitions!G$6</f>
        <v>2.2901611221458132E-2</v>
      </c>
      <c r="G244">
        <f>Definitions!G$16</f>
        <v>2.1710458408319436E-2</v>
      </c>
      <c r="H244">
        <f>Definitions!G$31</f>
        <v>6.266203655303857E-7</v>
      </c>
      <c r="I244" s="6">
        <f t="shared" si="40"/>
        <v>4.4612696250143101E-2</v>
      </c>
      <c r="J244" s="1">
        <f t="shared" ca="1" si="36"/>
        <v>6.5929886255111558</v>
      </c>
      <c r="K244" s="1">
        <f t="shared" ca="1" si="35"/>
        <v>0.29413099893057765</v>
      </c>
    </row>
    <row r="245" spans="2:11" x14ac:dyDescent="0.25">
      <c r="D245" s="4" t="s">
        <v>38</v>
      </c>
      <c r="F245">
        <f>Definitions!G$6</f>
        <v>2.2901611221458132E-2</v>
      </c>
      <c r="G245">
        <f>Definitions!G$16</f>
        <v>2.1710458408319436E-2</v>
      </c>
      <c r="H245">
        <f>Definitions!G$32</f>
        <v>8.557262120117759E-3</v>
      </c>
      <c r="I245" s="6">
        <f t="shared" si="38"/>
        <v>5.3169331749895327E-2</v>
      </c>
      <c r="J245" s="1">
        <f t="shared" ca="1" si="36"/>
        <v>4.8505494260885662</v>
      </c>
      <c r="K245" s="1">
        <f t="shared" ca="1" si="35"/>
        <v>0.25790047160496737</v>
      </c>
    </row>
    <row r="246" spans="2:11" x14ac:dyDescent="0.25">
      <c r="D246" s="4" t="s">
        <v>39</v>
      </c>
      <c r="F246">
        <f>Definitions!G$6</f>
        <v>2.2901611221458132E-2</v>
      </c>
      <c r="G246">
        <f>Definitions!G$16</f>
        <v>2.1710458408319436E-2</v>
      </c>
      <c r="H246">
        <f>Definitions!G$33</f>
        <v>7.3226734992402288E-5</v>
      </c>
      <c r="I246" s="6">
        <f t="shared" si="38"/>
        <v>4.4685296364769971E-2</v>
      </c>
      <c r="J246" s="1">
        <f t="shared" ca="1" si="36"/>
        <v>5.2307292871698658</v>
      </c>
      <c r="K246" s="1">
        <f t="shared" ca="1" si="35"/>
        <v>0.23373668840106743</v>
      </c>
    </row>
    <row r="247" spans="2:11" x14ac:dyDescent="0.25">
      <c r="D247" s="4" t="s">
        <v>40</v>
      </c>
      <c r="F247">
        <f>Definitions!G$6</f>
        <v>2.2901611221458132E-2</v>
      </c>
      <c r="G247">
        <f>Definitions!G$16</f>
        <v>2.1710458408319436E-2</v>
      </c>
      <c r="H247">
        <f>Definitions!G$34</f>
        <v>8.557262120117759E-3</v>
      </c>
      <c r="I247" s="6">
        <f t="shared" si="38"/>
        <v>5.3169331749895327E-2</v>
      </c>
      <c r="J247" s="1">
        <f t="shared" ca="1" si="36"/>
        <v>4.8554826493108223</v>
      </c>
      <c r="K247" s="1">
        <f t="shared" ca="1" si="35"/>
        <v>0.25816276778706776</v>
      </c>
    </row>
    <row r="248" spans="2:11" x14ac:dyDescent="0.25">
      <c r="B248" s="4"/>
      <c r="C248" s="4" t="s">
        <v>28</v>
      </c>
      <c r="D248" s="4" t="s">
        <v>19</v>
      </c>
      <c r="F248">
        <f>Definitions!G$6</f>
        <v>2.2901611221458132E-2</v>
      </c>
      <c r="G248">
        <f>Definitions!G$17</f>
        <v>8.4805222095781527E-4</v>
      </c>
      <c r="I248" s="6">
        <f t="shared" ref="I248" si="44">IF(1-(SUM(I249:I258))&lt;0,0,1-(SUM(I249:I258)))</f>
        <v>0.72805337828750649</v>
      </c>
      <c r="J248" s="1">
        <f t="shared" ca="1" si="36"/>
        <v>3.9252613281938573</v>
      </c>
      <c r="K248" s="1">
        <f t="shared" ca="1" si="35"/>
        <v>2.8577997706528424</v>
      </c>
    </row>
    <row r="249" spans="2:11" x14ac:dyDescent="0.25">
      <c r="D249" s="4" t="s">
        <v>32</v>
      </c>
      <c r="F249">
        <f>Definitions!G$6</f>
        <v>2.2901611221458132E-2</v>
      </c>
      <c r="G249">
        <f>Definitions!G$17</f>
        <v>8.4805222095781527E-4</v>
      </c>
      <c r="H249">
        <f>Definitions!G$25</f>
        <v>8.557262120117759E-3</v>
      </c>
      <c r="I249" s="6">
        <f t="shared" si="40"/>
        <v>3.2306925562533707E-2</v>
      </c>
      <c r="J249" s="1">
        <f t="shared" ca="1" si="36"/>
        <v>3.9100499073223562</v>
      </c>
      <c r="K249" s="1">
        <f t="shared" ca="1" si="35"/>
        <v>0.12632169130165519</v>
      </c>
    </row>
    <row r="250" spans="2:11" x14ac:dyDescent="0.25">
      <c r="D250" s="4" t="s">
        <v>25</v>
      </c>
      <c r="F250">
        <f>Definitions!G$6</f>
        <v>2.2901611221458132E-2</v>
      </c>
      <c r="G250">
        <f>Definitions!G$17</f>
        <v>8.4805222095781527E-4</v>
      </c>
      <c r="H250">
        <f>Definitions!G$26</f>
        <v>7.3226734992402288E-5</v>
      </c>
      <c r="I250" s="6">
        <f t="shared" si="40"/>
        <v>2.3822890177408351E-2</v>
      </c>
      <c r="J250" s="1">
        <f t="shared" ca="1" si="36"/>
        <v>1.9594573386253438</v>
      </c>
      <c r="K250" s="1">
        <f t="shared" ca="1" si="35"/>
        <v>4.6679936985388415E-2</v>
      </c>
    </row>
    <row r="251" spans="2:11" x14ac:dyDescent="0.25">
      <c r="D251" s="4" t="s">
        <v>33</v>
      </c>
      <c r="F251">
        <f>Definitions!G$6</f>
        <v>2.2901611221458132E-2</v>
      </c>
      <c r="G251">
        <f>Definitions!G$17</f>
        <v>8.4805222095781527E-4</v>
      </c>
      <c r="H251">
        <f>Definitions!G$27</f>
        <v>6.266203655303857E-7</v>
      </c>
      <c r="I251" s="6">
        <f t="shared" si="40"/>
        <v>2.3750290062781478E-2</v>
      </c>
      <c r="J251" s="1">
        <f t="shared" ca="1" si="36"/>
        <v>6.2459595418371476</v>
      </c>
      <c r="K251" s="1">
        <f t="shared" ca="1" si="35"/>
        <v>0.14834335083902997</v>
      </c>
    </row>
    <row r="252" spans="2:11" x14ac:dyDescent="0.25">
      <c r="D252" s="4" t="s">
        <v>34</v>
      </c>
      <c r="F252">
        <f>Definitions!G$6</f>
        <v>2.2901611221458132E-2</v>
      </c>
      <c r="G252">
        <f>Definitions!G$17</f>
        <v>8.4805222095781527E-4</v>
      </c>
      <c r="H252">
        <f>Definitions!G$28</f>
        <v>5.3621547176475137E-9</v>
      </c>
      <c r="I252" s="6">
        <f t="shared" si="40"/>
        <v>2.3749668804570665E-2</v>
      </c>
      <c r="J252" s="1">
        <f t="shared" ca="1" si="36"/>
        <v>5.7680468342224795</v>
      </c>
      <c r="K252" s="1">
        <f t="shared" ca="1" si="35"/>
        <v>0.13698920196203621</v>
      </c>
    </row>
    <row r="253" spans="2:11" x14ac:dyDescent="0.25">
      <c r="D253" s="4" t="s">
        <v>35</v>
      </c>
      <c r="F253">
        <f>Definitions!G$6</f>
        <v>2.2901611221458132E-2</v>
      </c>
      <c r="G253">
        <f>Definitions!G$17</f>
        <v>8.4805222095781527E-4</v>
      </c>
      <c r="H253">
        <f>Definitions!G$29</f>
        <v>8.557262120117759E-3</v>
      </c>
      <c r="I253" s="6">
        <f t="shared" si="40"/>
        <v>3.2306925562533707E-2</v>
      </c>
      <c r="J253" s="1">
        <f t="shared" ca="1" si="36"/>
        <v>3.6836630597268205</v>
      </c>
      <c r="K253" s="1">
        <f t="shared" ca="1" si="35"/>
        <v>0.11900782826804955</v>
      </c>
    </row>
    <row r="254" spans="2:11" x14ac:dyDescent="0.25">
      <c r="D254" s="4" t="s">
        <v>36</v>
      </c>
      <c r="F254">
        <f>Definitions!G$6</f>
        <v>2.2901611221458132E-2</v>
      </c>
      <c r="G254">
        <f>Definitions!G$17</f>
        <v>8.4805222095781527E-4</v>
      </c>
      <c r="H254">
        <f>Definitions!G$30</f>
        <v>7.3226734992402288E-5</v>
      </c>
      <c r="I254" s="6">
        <f t="shared" si="40"/>
        <v>2.3822890177408351E-2</v>
      </c>
      <c r="J254" s="1">
        <f t="shared" ca="1" si="36"/>
        <v>4.8117287763033314</v>
      </c>
      <c r="K254" s="1">
        <f t="shared" ref="K254:K317" ca="1" si="45">I254*J254</f>
        <v>0.11462928620134974</v>
      </c>
    </row>
    <row r="255" spans="2:11" x14ac:dyDescent="0.25">
      <c r="D255" s="4" t="s">
        <v>37</v>
      </c>
      <c r="F255">
        <f>Definitions!G$6</f>
        <v>2.2901611221458132E-2</v>
      </c>
      <c r="G255">
        <f>Definitions!G$17</f>
        <v>8.4805222095781527E-4</v>
      </c>
      <c r="H255">
        <f>Definitions!G$31</f>
        <v>6.266203655303857E-7</v>
      </c>
      <c r="I255" s="6">
        <f t="shared" si="40"/>
        <v>2.3750290062781478E-2</v>
      </c>
      <c r="J255" s="1">
        <f t="shared" ref="J255:J318" ca="1" si="46">_xlfn.NORM.INV(RAND(),4,2)</f>
        <v>6.2212637864107849</v>
      </c>
      <c r="K255" s="1">
        <f t="shared" ca="1" si="45"/>
        <v>0.14775681948433433</v>
      </c>
    </row>
    <row r="256" spans="2:11" x14ac:dyDescent="0.25">
      <c r="D256" s="4" t="s">
        <v>38</v>
      </c>
      <c r="F256">
        <f>Definitions!G$6</f>
        <v>2.2901611221458132E-2</v>
      </c>
      <c r="G256">
        <f>Definitions!G$17</f>
        <v>8.4805222095781527E-4</v>
      </c>
      <c r="H256">
        <f>Definitions!G$32</f>
        <v>8.557262120117759E-3</v>
      </c>
      <c r="I256" s="6">
        <f t="shared" si="38"/>
        <v>3.2306925562533707E-2</v>
      </c>
      <c r="J256" s="1">
        <f t="shared" ca="1" si="46"/>
        <v>6.8907971412900499</v>
      </c>
      <c r="K256" s="1">
        <f t="shared" ca="1" si="45"/>
        <v>0.2226204703101777</v>
      </c>
    </row>
    <row r="257" spans="2:11" x14ac:dyDescent="0.25">
      <c r="D257" s="4" t="s">
        <v>39</v>
      </c>
      <c r="F257">
        <f>Definitions!G$6</f>
        <v>2.2901611221458132E-2</v>
      </c>
      <c r="G257">
        <f>Definitions!G$17</f>
        <v>8.4805222095781527E-4</v>
      </c>
      <c r="H257">
        <f>Definitions!G$33</f>
        <v>7.3226734992402288E-5</v>
      </c>
      <c r="I257" s="6">
        <f t="shared" si="38"/>
        <v>2.3822890177408351E-2</v>
      </c>
      <c r="J257" s="1">
        <f t="shared" ca="1" si="46"/>
        <v>5.4404293269523381</v>
      </c>
      <c r="K257" s="1">
        <f t="shared" ca="1" si="45"/>
        <v>0.12960675037393718</v>
      </c>
    </row>
    <row r="258" spans="2:11" x14ac:dyDescent="0.25">
      <c r="D258" s="4" t="s">
        <v>40</v>
      </c>
      <c r="F258">
        <f>Definitions!G$6</f>
        <v>2.2901611221458132E-2</v>
      </c>
      <c r="G258">
        <f>Definitions!G$17</f>
        <v>8.4805222095781527E-4</v>
      </c>
      <c r="H258">
        <f>Definitions!G$34</f>
        <v>8.557262120117759E-3</v>
      </c>
      <c r="I258" s="6">
        <f t="shared" si="38"/>
        <v>3.2306925562533707E-2</v>
      </c>
      <c r="J258" s="1">
        <f t="shared" ca="1" si="46"/>
        <v>-1.5089750426018762</v>
      </c>
      <c r="K258" s="1">
        <f t="shared" ca="1" si="45"/>
        <v>-4.8750344377059947E-2</v>
      </c>
    </row>
    <row r="259" spans="2:11" x14ac:dyDescent="0.25">
      <c r="B259" s="4"/>
      <c r="C259" s="4" t="s">
        <v>29</v>
      </c>
      <c r="D259" s="4" t="s">
        <v>19</v>
      </c>
      <c r="F259">
        <f>Definitions!G$6</f>
        <v>2.2901611221458132E-2</v>
      </c>
      <c r="G259">
        <f>Definitions!G$18</f>
        <v>0.14734469250135696</v>
      </c>
      <c r="I259" s="6">
        <f t="shared" ref="I259" si="47">IF(1-(SUM(I260:I269))&lt;0,0,1-(SUM(I260:I269)))</f>
        <v>0</v>
      </c>
      <c r="J259" s="1">
        <f t="shared" ca="1" si="46"/>
        <v>2.4170792371839571</v>
      </c>
      <c r="K259" s="1">
        <f t="shared" ca="1" si="45"/>
        <v>0</v>
      </c>
    </row>
    <row r="260" spans="2:11" x14ac:dyDescent="0.25">
      <c r="D260" s="4" t="s">
        <v>32</v>
      </c>
      <c r="F260">
        <f>Definitions!G$6</f>
        <v>2.2901611221458132E-2</v>
      </c>
      <c r="G260">
        <f>Definitions!G$18</f>
        <v>0.14734469250135696</v>
      </c>
      <c r="H260">
        <f>Definitions!G$25</f>
        <v>8.557262120117759E-3</v>
      </c>
      <c r="I260" s="6">
        <f t="shared" si="40"/>
        <v>0.17880356584293283</v>
      </c>
      <c r="J260" s="1">
        <f t="shared" ca="1" si="46"/>
        <v>5.6708827811640994</v>
      </c>
      <c r="K260" s="1">
        <f t="shared" ca="1" si="45"/>
        <v>1.0139740627494291</v>
      </c>
    </row>
    <row r="261" spans="2:11" x14ac:dyDescent="0.25">
      <c r="D261" s="4" t="s">
        <v>25</v>
      </c>
      <c r="F261">
        <f>Definitions!G$6</f>
        <v>2.2901611221458132E-2</v>
      </c>
      <c r="G261">
        <f>Definitions!G$18</f>
        <v>0.14734469250135696</v>
      </c>
      <c r="H261">
        <f>Definitions!G$26</f>
        <v>7.3226734992402288E-5</v>
      </c>
      <c r="I261" s="6">
        <f t="shared" si="40"/>
        <v>0.17031953045780748</v>
      </c>
      <c r="J261" s="1">
        <f t="shared" ca="1" si="46"/>
        <v>5.6581200270555803</v>
      </c>
      <c r="K261" s="1">
        <f t="shared" ca="1" si="45"/>
        <v>0.96368834628202338</v>
      </c>
    </row>
    <row r="262" spans="2:11" x14ac:dyDescent="0.25">
      <c r="D262" s="4" t="s">
        <v>33</v>
      </c>
      <c r="F262">
        <f>Definitions!G$6</f>
        <v>2.2901611221458132E-2</v>
      </c>
      <c r="G262">
        <f>Definitions!G$18</f>
        <v>0.14734469250135696</v>
      </c>
      <c r="H262">
        <f>Definitions!G$27</f>
        <v>6.266203655303857E-7</v>
      </c>
      <c r="I262" s="6">
        <f t="shared" si="40"/>
        <v>0.17024693034318061</v>
      </c>
      <c r="J262" s="1">
        <f t="shared" ca="1" si="46"/>
        <v>3.3740879664497823</v>
      </c>
      <c r="K262" s="1">
        <f t="shared" ca="1" si="45"/>
        <v>0.57442811899594004</v>
      </c>
    </row>
    <row r="263" spans="2:11" x14ac:dyDescent="0.25">
      <c r="D263" s="4" t="s">
        <v>34</v>
      </c>
      <c r="F263">
        <f>Definitions!G$6</f>
        <v>2.2901611221458132E-2</v>
      </c>
      <c r="G263">
        <f>Definitions!G$18</f>
        <v>0.14734469250135696</v>
      </c>
      <c r="H263">
        <f>Definitions!G$28</f>
        <v>5.3621547176475137E-9</v>
      </c>
      <c r="I263" s="6">
        <f t="shared" si="40"/>
        <v>0.17024630908496979</v>
      </c>
      <c r="J263" s="1">
        <f t="shared" ca="1" si="46"/>
        <v>4.1280505842121746</v>
      </c>
      <c r="K263" s="1">
        <f t="shared" ca="1" si="45"/>
        <v>0.70278537567817601</v>
      </c>
    </row>
    <row r="264" spans="2:11" x14ac:dyDescent="0.25">
      <c r="D264" s="4" t="s">
        <v>35</v>
      </c>
      <c r="F264">
        <f>Definitions!G$6</f>
        <v>2.2901611221458132E-2</v>
      </c>
      <c r="G264">
        <f>Definitions!G$18</f>
        <v>0.14734469250135696</v>
      </c>
      <c r="H264">
        <f>Definitions!G$29</f>
        <v>8.557262120117759E-3</v>
      </c>
      <c r="I264" s="6">
        <f t="shared" si="40"/>
        <v>0.17880356584293283</v>
      </c>
      <c r="J264" s="1">
        <f t="shared" ca="1" si="46"/>
        <v>2.1834541991127434</v>
      </c>
      <c r="K264" s="1">
        <f t="shared" ca="1" si="45"/>
        <v>0.3904093966560836</v>
      </c>
    </row>
    <row r="265" spans="2:11" x14ac:dyDescent="0.25">
      <c r="D265" s="4" t="s">
        <v>36</v>
      </c>
      <c r="F265">
        <f>Definitions!G$6</f>
        <v>2.2901611221458132E-2</v>
      </c>
      <c r="G265">
        <f>Definitions!G$18</f>
        <v>0.14734469250135696</v>
      </c>
      <c r="H265">
        <f>Definitions!G$30</f>
        <v>7.3226734992402288E-5</v>
      </c>
      <c r="I265" s="6">
        <f t="shared" si="40"/>
        <v>0.17031953045780748</v>
      </c>
      <c r="J265" s="1">
        <f t="shared" ca="1" si="46"/>
        <v>0.43061642489225171</v>
      </c>
      <c r="K265" s="1">
        <f t="shared" ca="1" si="45"/>
        <v>7.3342387295068034E-2</v>
      </c>
    </row>
    <row r="266" spans="2:11" x14ac:dyDescent="0.25">
      <c r="D266" s="4" t="s">
        <v>37</v>
      </c>
      <c r="F266">
        <f>Definitions!G$6</f>
        <v>2.2901611221458132E-2</v>
      </c>
      <c r="G266">
        <f>Definitions!G$18</f>
        <v>0.14734469250135696</v>
      </c>
      <c r="H266">
        <f>Definitions!G$31</f>
        <v>6.266203655303857E-7</v>
      </c>
      <c r="I266" s="6">
        <f t="shared" si="40"/>
        <v>0.17024693034318061</v>
      </c>
      <c r="J266" s="1">
        <f t="shared" ca="1" si="46"/>
        <v>1.7660401367598131</v>
      </c>
      <c r="K266" s="1">
        <f t="shared" ca="1" si="45"/>
        <v>0.30066291214620905</v>
      </c>
    </row>
    <row r="267" spans="2:11" x14ac:dyDescent="0.25">
      <c r="D267" s="4" t="s">
        <v>38</v>
      </c>
      <c r="F267">
        <f>Definitions!G$6</f>
        <v>2.2901611221458132E-2</v>
      </c>
      <c r="G267">
        <f>Definitions!G$18</f>
        <v>0.14734469250135696</v>
      </c>
      <c r="H267">
        <f>Definitions!G$32</f>
        <v>8.557262120117759E-3</v>
      </c>
      <c r="I267" s="6">
        <f t="shared" si="40"/>
        <v>0.17880356584293283</v>
      </c>
      <c r="J267" s="1">
        <f t="shared" ca="1" si="46"/>
        <v>5.2403857499935302</v>
      </c>
      <c r="K267" s="1">
        <f t="shared" ca="1" si="45"/>
        <v>0.93699965849133515</v>
      </c>
    </row>
    <row r="268" spans="2:11" x14ac:dyDescent="0.25">
      <c r="D268" s="4" t="s">
        <v>39</v>
      </c>
      <c r="F268">
        <f>Definitions!G$6</f>
        <v>2.2901611221458132E-2</v>
      </c>
      <c r="G268">
        <f>Definitions!G$18</f>
        <v>0.14734469250135696</v>
      </c>
      <c r="H268">
        <f>Definitions!G$33</f>
        <v>7.3226734992402288E-5</v>
      </c>
      <c r="I268" s="6">
        <f t="shared" si="40"/>
        <v>0.17031953045780748</v>
      </c>
      <c r="J268" s="1">
        <f t="shared" ca="1" si="46"/>
        <v>2.3178337147150829</v>
      </c>
      <c r="K268" s="1">
        <f t="shared" ca="1" si="45"/>
        <v>0.39477234996954863</v>
      </c>
    </row>
    <row r="269" spans="2:11" x14ac:dyDescent="0.25">
      <c r="D269" s="4" t="s">
        <v>40</v>
      </c>
      <c r="F269">
        <f>Definitions!G$6</f>
        <v>2.2901611221458132E-2</v>
      </c>
      <c r="G269">
        <f>Definitions!G$18</f>
        <v>0.14734469250135696</v>
      </c>
      <c r="H269">
        <f>Definitions!G$34</f>
        <v>8.557262120117759E-3</v>
      </c>
      <c r="I269" s="6">
        <f t="shared" ref="I269:I324" si="48">SUM(F269+G269+H269)</f>
        <v>0.17880356584293283</v>
      </c>
      <c r="J269" s="1">
        <f t="shared" ca="1" si="46"/>
        <v>6.5927039095215214</v>
      </c>
      <c r="K269" s="1">
        <f t="shared" ca="1" si="45"/>
        <v>1.178798967569092</v>
      </c>
    </row>
    <row r="270" spans="2:11" x14ac:dyDescent="0.25">
      <c r="B270" s="4"/>
      <c r="C270" s="4" t="s">
        <v>30</v>
      </c>
      <c r="D270" s="4" t="s">
        <v>19</v>
      </c>
      <c r="F270">
        <f>Definitions!G$6</f>
        <v>2.2901611221458132E-2</v>
      </c>
      <c r="G270">
        <f>Definitions!G$18</f>
        <v>0.14734469250135696</v>
      </c>
      <c r="I270" s="6">
        <f t="shared" ref="I270" si="49">IF(1-(SUM(I271:I280))&lt;0,0,1-(SUM(I271:I280)))</f>
        <v>0.67897823245359512</v>
      </c>
      <c r="J270" s="1">
        <f t="shared" ca="1" si="46"/>
        <v>7.8904313165176907</v>
      </c>
      <c r="K270" s="1">
        <f t="shared" ca="1" si="45"/>
        <v>5.3574311085856747</v>
      </c>
    </row>
    <row r="271" spans="2:11" x14ac:dyDescent="0.25">
      <c r="D271" s="4" t="s">
        <v>32</v>
      </c>
      <c r="F271">
        <f>Definitions!G$6</f>
        <v>2.2901611221458132E-2</v>
      </c>
      <c r="G271">
        <f>Definitions!G$19</f>
        <v>5.75556680434896E-3</v>
      </c>
      <c r="H271">
        <f>Definitions!G$25</f>
        <v>8.557262120117759E-3</v>
      </c>
      <c r="I271" s="6">
        <f t="shared" ref="I271:I334" si="50">SUM(F271+G271+H271)</f>
        <v>3.721444014592485E-2</v>
      </c>
      <c r="J271" s="1">
        <f t="shared" ca="1" si="46"/>
        <v>4.895322833675511</v>
      </c>
      <c r="K271" s="1">
        <f t="shared" ca="1" si="45"/>
        <v>0.18217669858879654</v>
      </c>
    </row>
    <row r="272" spans="2:11" x14ac:dyDescent="0.25">
      <c r="D272" s="4" t="s">
        <v>25</v>
      </c>
      <c r="F272">
        <f>Definitions!G$6</f>
        <v>2.2901611221458132E-2</v>
      </c>
      <c r="G272">
        <f>Definitions!G$19</f>
        <v>5.75556680434896E-3</v>
      </c>
      <c r="H272">
        <f>Definitions!G$26</f>
        <v>7.3226734992402288E-5</v>
      </c>
      <c r="I272" s="6">
        <f t="shared" si="50"/>
        <v>2.8730404760799494E-2</v>
      </c>
      <c r="J272" s="1">
        <f t="shared" ca="1" si="46"/>
        <v>5.2950236571281311</v>
      </c>
      <c r="K272" s="1">
        <f t="shared" ca="1" si="45"/>
        <v>0.15212817288730002</v>
      </c>
    </row>
    <row r="273" spans="2:11" x14ac:dyDescent="0.25">
      <c r="D273" s="4" t="s">
        <v>33</v>
      </c>
      <c r="F273">
        <f>Definitions!G$6</f>
        <v>2.2901611221458132E-2</v>
      </c>
      <c r="G273">
        <f>Definitions!G$19</f>
        <v>5.75556680434896E-3</v>
      </c>
      <c r="H273">
        <f>Definitions!G$27</f>
        <v>6.266203655303857E-7</v>
      </c>
      <c r="I273" s="6">
        <f t="shared" si="50"/>
        <v>2.8657804646172621E-2</v>
      </c>
      <c r="J273" s="1">
        <f t="shared" ca="1" si="46"/>
        <v>5.4176376326257003</v>
      </c>
      <c r="K273" s="1">
        <f t="shared" ca="1" si="45"/>
        <v>0.15525760091954044</v>
      </c>
    </row>
    <row r="274" spans="2:11" x14ac:dyDescent="0.25">
      <c r="D274" s="4" t="s">
        <v>34</v>
      </c>
      <c r="F274">
        <f>Definitions!G$6</f>
        <v>2.2901611221458132E-2</v>
      </c>
      <c r="G274">
        <f>Definitions!G$19</f>
        <v>5.75556680434896E-3</v>
      </c>
      <c r="H274">
        <f>Definitions!G$28</f>
        <v>5.3621547176475137E-9</v>
      </c>
      <c r="I274" s="6">
        <f t="shared" si="50"/>
        <v>2.8657183387961808E-2</v>
      </c>
      <c r="J274" s="1">
        <f t="shared" ca="1" si="46"/>
        <v>2.9054083784446583</v>
      </c>
      <c r="K274" s="1">
        <f t="shared" ca="1" si="45"/>
        <v>8.3260820718009318E-2</v>
      </c>
    </row>
    <row r="275" spans="2:11" x14ac:dyDescent="0.25">
      <c r="D275" s="4" t="s">
        <v>35</v>
      </c>
      <c r="F275">
        <f>Definitions!G$6</f>
        <v>2.2901611221458132E-2</v>
      </c>
      <c r="G275">
        <f>Definitions!G$19</f>
        <v>5.75556680434896E-3</v>
      </c>
      <c r="H275">
        <f>Definitions!G$29</f>
        <v>8.557262120117759E-3</v>
      </c>
      <c r="I275" s="6">
        <f t="shared" si="50"/>
        <v>3.721444014592485E-2</v>
      </c>
      <c r="J275" s="1">
        <f t="shared" ca="1" si="46"/>
        <v>3.8618914079787903</v>
      </c>
      <c r="K275" s="1">
        <f t="shared" ca="1" si="45"/>
        <v>0.14371812665228814</v>
      </c>
    </row>
    <row r="276" spans="2:11" x14ac:dyDescent="0.25">
      <c r="D276" s="4" t="s">
        <v>36</v>
      </c>
      <c r="F276">
        <f>Definitions!G$6</f>
        <v>2.2901611221458132E-2</v>
      </c>
      <c r="G276">
        <f>Definitions!G$19</f>
        <v>5.75556680434896E-3</v>
      </c>
      <c r="H276">
        <f>Definitions!G$30</f>
        <v>7.3226734992402288E-5</v>
      </c>
      <c r="I276" s="6">
        <f t="shared" si="50"/>
        <v>2.8730404760799494E-2</v>
      </c>
      <c r="J276" s="1">
        <f t="shared" ca="1" si="46"/>
        <v>5.4875863026929821</v>
      </c>
      <c r="K276" s="1">
        <f t="shared" ca="1" si="45"/>
        <v>0.15766057563618854</v>
      </c>
    </row>
    <row r="277" spans="2:11" x14ac:dyDescent="0.25">
      <c r="D277" s="4" t="s">
        <v>37</v>
      </c>
      <c r="F277">
        <f>Definitions!G$6</f>
        <v>2.2901611221458132E-2</v>
      </c>
      <c r="G277">
        <f>Definitions!G$19</f>
        <v>5.75556680434896E-3</v>
      </c>
      <c r="H277">
        <f>Definitions!G$31</f>
        <v>6.266203655303857E-7</v>
      </c>
      <c r="I277" s="6">
        <f t="shared" si="50"/>
        <v>2.8657804646172621E-2</v>
      </c>
      <c r="J277" s="1">
        <f t="shared" ca="1" si="46"/>
        <v>2.4327581946372447</v>
      </c>
      <c r="K277" s="1">
        <f t="shared" ca="1" si="45"/>
        <v>6.9717509093289748E-2</v>
      </c>
    </row>
    <row r="278" spans="2:11" x14ac:dyDescent="0.25">
      <c r="D278" s="4" t="s">
        <v>38</v>
      </c>
      <c r="F278">
        <f>Definitions!G$6</f>
        <v>2.2901611221458132E-2</v>
      </c>
      <c r="G278">
        <f>Definitions!G$19</f>
        <v>5.75556680434896E-3</v>
      </c>
      <c r="H278">
        <f>Definitions!G$32</f>
        <v>8.557262120117759E-3</v>
      </c>
      <c r="I278" s="6">
        <f t="shared" si="48"/>
        <v>3.721444014592485E-2</v>
      </c>
      <c r="J278" s="1">
        <f t="shared" ca="1" si="46"/>
        <v>2.4997521448765143</v>
      </c>
      <c r="K278" s="1">
        <f t="shared" ca="1" si="45"/>
        <v>9.3026876575154308E-2</v>
      </c>
    </row>
    <row r="279" spans="2:11" x14ac:dyDescent="0.25">
      <c r="D279" s="4" t="s">
        <v>39</v>
      </c>
      <c r="F279">
        <f>Definitions!G$6</f>
        <v>2.2901611221458132E-2</v>
      </c>
      <c r="G279">
        <f>Definitions!G$19</f>
        <v>5.75556680434896E-3</v>
      </c>
      <c r="H279">
        <f>Definitions!G$33</f>
        <v>7.3226734992402288E-5</v>
      </c>
      <c r="I279" s="6">
        <f t="shared" si="48"/>
        <v>2.8730404760799494E-2</v>
      </c>
      <c r="J279" s="1">
        <f t="shared" ca="1" si="46"/>
        <v>0.77144039641759843</v>
      </c>
      <c r="K279" s="1">
        <f t="shared" ca="1" si="45"/>
        <v>2.2163794837909218E-2</v>
      </c>
    </row>
    <row r="280" spans="2:11" x14ac:dyDescent="0.25">
      <c r="D280" s="4" t="s">
        <v>40</v>
      </c>
      <c r="F280">
        <f>Definitions!G$6</f>
        <v>2.2901611221458132E-2</v>
      </c>
      <c r="G280">
        <f>Definitions!G$19</f>
        <v>5.75556680434896E-3</v>
      </c>
      <c r="H280">
        <f>Definitions!G$34</f>
        <v>8.557262120117759E-3</v>
      </c>
      <c r="I280" s="6">
        <f t="shared" si="48"/>
        <v>3.721444014592485E-2</v>
      </c>
      <c r="J280" s="1">
        <f t="shared" ca="1" si="46"/>
        <v>2.9085975125121548</v>
      </c>
      <c r="K280" s="1">
        <f t="shared" ca="1" si="45"/>
        <v>0.10824182803796949</v>
      </c>
    </row>
    <row r="281" spans="2:11" x14ac:dyDescent="0.25">
      <c r="B281" s="4"/>
      <c r="C281" s="4" t="s">
        <v>31</v>
      </c>
      <c r="D281" s="4" t="s">
        <v>19</v>
      </c>
      <c r="F281">
        <f>Definitions!G$6</f>
        <v>2.2901611221458132E-2</v>
      </c>
      <c r="G281">
        <f>Definitions!G$19</f>
        <v>5.75556680434896E-3</v>
      </c>
      <c r="I281" s="6">
        <f t="shared" ref="I281" si="51">IF(1-(SUM(I282:I291))&lt;0,0,1-(SUM(I282:I291)))</f>
        <v>0.34591468601157105</v>
      </c>
      <c r="J281" s="1">
        <f t="shared" ca="1" si="46"/>
        <v>-0.48179015999975672</v>
      </c>
      <c r="K281" s="1">
        <f t="shared" ca="1" si="45"/>
        <v>-0.16665829191978043</v>
      </c>
    </row>
    <row r="282" spans="2:11" x14ac:dyDescent="0.25">
      <c r="D282" s="4" t="s">
        <v>32</v>
      </c>
      <c r="F282">
        <f>Definitions!G$6</f>
        <v>2.2901611221458132E-2</v>
      </c>
      <c r="G282">
        <f>Definitions!G$20</f>
        <v>3.9061921448551362E-2</v>
      </c>
      <c r="H282">
        <f>Definitions!G$25</f>
        <v>8.557262120117759E-3</v>
      </c>
      <c r="I282" s="6">
        <f t="shared" si="50"/>
        <v>7.0520794790127253E-2</v>
      </c>
      <c r="J282" s="1">
        <f t="shared" ca="1" si="46"/>
        <v>3.2459362566266026</v>
      </c>
      <c r="K282" s="1">
        <f t="shared" ca="1" si="45"/>
        <v>0.22890600465539848</v>
      </c>
    </row>
    <row r="283" spans="2:11" x14ac:dyDescent="0.25">
      <c r="D283" s="4" t="s">
        <v>25</v>
      </c>
      <c r="F283">
        <f>Definitions!G$6</f>
        <v>2.2901611221458132E-2</v>
      </c>
      <c r="G283">
        <f>Definitions!G$20</f>
        <v>3.9061921448551362E-2</v>
      </c>
      <c r="H283">
        <f>Definitions!G$26</f>
        <v>7.3226734992402288E-5</v>
      </c>
      <c r="I283" s="6">
        <f t="shared" si="50"/>
        <v>6.2036759405001897E-2</v>
      </c>
      <c r="J283" s="1">
        <f t="shared" ca="1" si="46"/>
        <v>3.0585531749449721</v>
      </c>
      <c r="K283" s="1">
        <f t="shared" ca="1" si="45"/>
        <v>0.18974272744146592</v>
      </c>
    </row>
    <row r="284" spans="2:11" x14ac:dyDescent="0.25">
      <c r="D284" s="4" t="s">
        <v>33</v>
      </c>
      <c r="F284">
        <f>Definitions!G$6</f>
        <v>2.2901611221458132E-2</v>
      </c>
      <c r="G284">
        <f>Definitions!G$20</f>
        <v>3.9061921448551362E-2</v>
      </c>
      <c r="H284">
        <f>Definitions!G$27</f>
        <v>6.266203655303857E-7</v>
      </c>
      <c r="I284" s="6">
        <f t="shared" si="50"/>
        <v>6.1964159290375027E-2</v>
      </c>
      <c r="J284" s="1">
        <f t="shared" ca="1" si="46"/>
        <v>1.7380844389151457</v>
      </c>
      <c r="K284" s="1">
        <f t="shared" ca="1" si="45"/>
        <v>0.1076989410330602</v>
      </c>
    </row>
    <row r="285" spans="2:11" x14ac:dyDescent="0.25">
      <c r="D285" s="4" t="s">
        <v>34</v>
      </c>
      <c r="F285">
        <f>Definitions!G$6</f>
        <v>2.2901611221458132E-2</v>
      </c>
      <c r="G285">
        <f>Definitions!G$20</f>
        <v>3.9061921448551362E-2</v>
      </c>
      <c r="H285">
        <f>Definitions!G$28</f>
        <v>5.3621547176475137E-9</v>
      </c>
      <c r="I285" s="6">
        <f t="shared" si="50"/>
        <v>6.1963538032164214E-2</v>
      </c>
      <c r="J285" s="1">
        <f t="shared" ca="1" si="46"/>
        <v>1.9605740457898055</v>
      </c>
      <c r="K285" s="1">
        <f t="shared" ca="1" si="45"/>
        <v>0.12148410445117068</v>
      </c>
    </row>
    <row r="286" spans="2:11" x14ac:dyDescent="0.25">
      <c r="D286" s="4" t="s">
        <v>35</v>
      </c>
      <c r="F286">
        <f>Definitions!G$6</f>
        <v>2.2901611221458132E-2</v>
      </c>
      <c r="G286">
        <f>Definitions!G$20</f>
        <v>3.9061921448551362E-2</v>
      </c>
      <c r="H286">
        <f>Definitions!G$29</f>
        <v>8.557262120117759E-3</v>
      </c>
      <c r="I286" s="6">
        <f t="shared" si="50"/>
        <v>7.0520794790127253E-2</v>
      </c>
      <c r="J286" s="1">
        <f t="shared" ca="1" si="46"/>
        <v>5.3707505626481922</v>
      </c>
      <c r="K286" s="1">
        <f t="shared" ca="1" si="45"/>
        <v>0.37874959829747362</v>
      </c>
    </row>
    <row r="287" spans="2:11" x14ac:dyDescent="0.25">
      <c r="D287" s="4" t="s">
        <v>36</v>
      </c>
      <c r="F287">
        <f>Definitions!G$6</f>
        <v>2.2901611221458132E-2</v>
      </c>
      <c r="G287">
        <f>Definitions!G$20</f>
        <v>3.9061921448551362E-2</v>
      </c>
      <c r="H287">
        <f>Definitions!G$30</f>
        <v>7.3226734992402288E-5</v>
      </c>
      <c r="I287" s="6">
        <f t="shared" si="50"/>
        <v>6.2036759405001897E-2</v>
      </c>
      <c r="J287" s="1">
        <f t="shared" ca="1" si="46"/>
        <v>4.467434740567966</v>
      </c>
      <c r="K287" s="1">
        <f t="shared" ca="1" si="45"/>
        <v>0.27714517415816198</v>
      </c>
    </row>
    <row r="288" spans="2:11" x14ac:dyDescent="0.25">
      <c r="D288" s="4" t="s">
        <v>37</v>
      </c>
      <c r="F288">
        <f>Definitions!G$6</f>
        <v>2.2901611221458132E-2</v>
      </c>
      <c r="G288">
        <f>Definitions!G$20</f>
        <v>3.9061921448551362E-2</v>
      </c>
      <c r="H288">
        <f>Definitions!G$31</f>
        <v>6.266203655303857E-7</v>
      </c>
      <c r="I288" s="6">
        <f t="shared" si="50"/>
        <v>6.1964159290375027E-2</v>
      </c>
      <c r="J288" s="1">
        <f t="shared" ca="1" si="46"/>
        <v>4.2447308262524714</v>
      </c>
      <c r="K288" s="1">
        <f t="shared" ca="1" si="45"/>
        <v>0.26302117706267336</v>
      </c>
    </row>
    <row r="289" spans="2:11" x14ac:dyDescent="0.25">
      <c r="D289" s="4" t="s">
        <v>38</v>
      </c>
      <c r="F289">
        <f>Definitions!G$6</f>
        <v>2.2901611221458132E-2</v>
      </c>
      <c r="G289">
        <f>Definitions!G$20</f>
        <v>3.9061921448551362E-2</v>
      </c>
      <c r="H289">
        <f>Definitions!G$32</f>
        <v>8.557262120117759E-3</v>
      </c>
      <c r="I289" s="6">
        <f t="shared" si="48"/>
        <v>7.0520794790127253E-2</v>
      </c>
      <c r="J289" s="1">
        <f t="shared" ca="1" si="46"/>
        <v>3.4810297060782363</v>
      </c>
      <c r="K289" s="1">
        <f t="shared" ca="1" si="45"/>
        <v>0.2454849815606803</v>
      </c>
    </row>
    <row r="290" spans="2:11" x14ac:dyDescent="0.25">
      <c r="D290" s="4" t="s">
        <v>39</v>
      </c>
      <c r="F290">
        <f>Definitions!G$6</f>
        <v>2.2901611221458132E-2</v>
      </c>
      <c r="G290">
        <f>Definitions!G$20</f>
        <v>3.9061921448551362E-2</v>
      </c>
      <c r="H290">
        <f>Definitions!G$33</f>
        <v>7.3226734992402288E-5</v>
      </c>
      <c r="I290" s="6">
        <f t="shared" si="48"/>
        <v>6.2036759405001897E-2</v>
      </c>
      <c r="J290" s="1">
        <f t="shared" ca="1" si="46"/>
        <v>6.2879415881136556</v>
      </c>
      <c r="K290" s="1">
        <f t="shared" ca="1" si="45"/>
        <v>0.39008351945451236</v>
      </c>
    </row>
    <row r="291" spans="2:11" x14ac:dyDescent="0.25">
      <c r="D291" s="4" t="s">
        <v>40</v>
      </c>
      <c r="F291">
        <f>Definitions!G$6</f>
        <v>2.2901611221458132E-2</v>
      </c>
      <c r="G291">
        <f>Definitions!G$20</f>
        <v>3.9061921448551362E-2</v>
      </c>
      <c r="H291">
        <f>Definitions!G$34</f>
        <v>8.557262120117759E-3</v>
      </c>
      <c r="I291" s="6">
        <f t="shared" si="48"/>
        <v>7.0520794790127253E-2</v>
      </c>
      <c r="J291" s="1">
        <f t="shared" ca="1" si="46"/>
        <v>0.22917441078295253</v>
      </c>
      <c r="K291" s="1">
        <f t="shared" ca="1" si="45"/>
        <v>1.6161561593972921E-2</v>
      </c>
    </row>
    <row r="292" spans="2:11" x14ac:dyDescent="0.25">
      <c r="B292" s="4" t="s">
        <v>21</v>
      </c>
      <c r="C292" s="4" t="s">
        <v>18</v>
      </c>
      <c r="D292" s="4" t="s">
        <v>19</v>
      </c>
      <c r="F292">
        <f>Definitions!G$7</f>
        <v>2.336333815415751E-4</v>
      </c>
      <c r="I292" s="6">
        <f t="shared" ref="I292" si="52">IF(1-(SUM(I293:I302))&lt;0,0,1-(SUM(I293:I302)))</f>
        <v>0.9632136788962502</v>
      </c>
      <c r="J292" s="1">
        <f t="shared" ca="1" si="46"/>
        <v>2.9417604727094169</v>
      </c>
      <c r="K292" s="1">
        <f t="shared" ca="1" si="45"/>
        <v>2.8335439273500094</v>
      </c>
    </row>
    <row r="293" spans="2:11" x14ac:dyDescent="0.25">
      <c r="D293" s="4" t="s">
        <v>32</v>
      </c>
      <c r="F293">
        <f>Definitions!G$7</f>
        <v>2.336333815415751E-4</v>
      </c>
      <c r="H293">
        <f>Definitions!G$25</f>
        <v>8.557262120117759E-3</v>
      </c>
      <c r="I293" s="6">
        <f t="shared" si="50"/>
        <v>8.7908955016593338E-3</v>
      </c>
      <c r="J293" s="1">
        <f t="shared" ca="1" si="46"/>
        <v>2.8976402258523932</v>
      </c>
      <c r="K293" s="1">
        <f t="shared" ca="1" si="45"/>
        <v>2.547285242687294E-2</v>
      </c>
    </row>
    <row r="294" spans="2:11" x14ac:dyDescent="0.25">
      <c r="D294" s="4" t="s">
        <v>25</v>
      </c>
      <c r="F294">
        <f>Definitions!G$7</f>
        <v>2.336333815415751E-4</v>
      </c>
      <c r="H294">
        <f>Definitions!G$26</f>
        <v>7.3226734992402288E-5</v>
      </c>
      <c r="I294" s="6">
        <f t="shared" si="50"/>
        <v>3.068601165339774E-4</v>
      </c>
      <c r="J294" s="1">
        <f t="shared" ca="1" si="46"/>
        <v>2.6929588088111465</v>
      </c>
      <c r="K294" s="1">
        <f t="shared" ca="1" si="45"/>
        <v>8.2636165389298941E-4</v>
      </c>
    </row>
    <row r="295" spans="2:11" x14ac:dyDescent="0.25">
      <c r="D295" s="4" t="s">
        <v>33</v>
      </c>
      <c r="F295">
        <f>Definitions!G$7</f>
        <v>2.336333815415751E-4</v>
      </c>
      <c r="H295">
        <f>Definitions!G$27</f>
        <v>6.266203655303857E-7</v>
      </c>
      <c r="I295" s="6">
        <f t="shared" si="50"/>
        <v>2.3426000190710549E-4</v>
      </c>
      <c r="J295" s="1">
        <f t="shared" ca="1" si="46"/>
        <v>6.4495954258828725</v>
      </c>
      <c r="K295" s="1">
        <f t="shared" ca="1" si="45"/>
        <v>1.5108822367673805E-3</v>
      </c>
    </row>
    <row r="296" spans="2:11" x14ac:dyDescent="0.25">
      <c r="D296" s="4" t="s">
        <v>34</v>
      </c>
      <c r="F296">
        <f>Definitions!G$7</f>
        <v>2.336333815415751E-4</v>
      </c>
      <c r="H296">
        <f>Definitions!G$28</f>
        <v>5.3621547176475137E-9</v>
      </c>
      <c r="I296" s="6">
        <f t="shared" si="50"/>
        <v>2.3363874369629274E-4</v>
      </c>
      <c r="J296" s="1">
        <f t="shared" ca="1" si="46"/>
        <v>5.2898054962831988</v>
      </c>
      <c r="K296" s="1">
        <f t="shared" ca="1" si="45"/>
        <v>1.2359035105493508E-3</v>
      </c>
    </row>
    <row r="297" spans="2:11" x14ac:dyDescent="0.25">
      <c r="D297" s="4" t="s">
        <v>35</v>
      </c>
      <c r="F297">
        <f>Definitions!G$7</f>
        <v>2.336333815415751E-4</v>
      </c>
      <c r="H297">
        <f>Definitions!G$29</f>
        <v>8.557262120117759E-3</v>
      </c>
      <c r="I297" s="6">
        <f t="shared" si="50"/>
        <v>8.7908955016593338E-3</v>
      </c>
      <c r="J297" s="1">
        <f t="shared" ca="1" si="46"/>
        <v>1.138157728681342</v>
      </c>
      <c r="K297" s="1">
        <f t="shared" ca="1" si="45"/>
        <v>1.0005425657243614E-2</v>
      </c>
    </row>
    <row r="298" spans="2:11" x14ac:dyDescent="0.25">
      <c r="D298" s="4" t="s">
        <v>36</v>
      </c>
      <c r="F298">
        <f>Definitions!G$7</f>
        <v>2.336333815415751E-4</v>
      </c>
      <c r="H298">
        <f>Definitions!G$30</f>
        <v>7.3226734992402288E-5</v>
      </c>
      <c r="I298" s="6">
        <f t="shared" si="50"/>
        <v>3.068601165339774E-4</v>
      </c>
      <c r="J298" s="1">
        <f t="shared" ca="1" si="46"/>
        <v>3.7646489329807458</v>
      </c>
      <c r="K298" s="1">
        <f t="shared" ca="1" si="45"/>
        <v>1.1552206102839852E-3</v>
      </c>
    </row>
    <row r="299" spans="2:11" x14ac:dyDescent="0.25">
      <c r="D299" s="4" t="s">
        <v>37</v>
      </c>
      <c r="F299">
        <f>Definitions!G$7</f>
        <v>2.336333815415751E-4</v>
      </c>
      <c r="H299">
        <f>Definitions!G$31</f>
        <v>6.266203655303857E-7</v>
      </c>
      <c r="I299" s="6">
        <f t="shared" si="50"/>
        <v>2.3426000190710549E-4</v>
      </c>
      <c r="J299" s="1">
        <f t="shared" ca="1" si="46"/>
        <v>1.9339938210800973</v>
      </c>
      <c r="K299" s="1">
        <f t="shared" ca="1" si="45"/>
        <v>4.5305739621455382E-4</v>
      </c>
    </row>
    <row r="300" spans="2:11" x14ac:dyDescent="0.25">
      <c r="D300" s="4" t="s">
        <v>38</v>
      </c>
      <c r="F300">
        <f>Definitions!G$7</f>
        <v>2.336333815415751E-4</v>
      </c>
      <c r="H300">
        <f>Definitions!G$32</f>
        <v>8.557262120117759E-3</v>
      </c>
      <c r="I300" s="6">
        <f t="shared" si="48"/>
        <v>8.7908955016593338E-3</v>
      </c>
      <c r="J300" s="1">
        <f t="shared" ca="1" si="46"/>
        <v>6.8161293117961002</v>
      </c>
      <c r="K300" s="1">
        <f t="shared" ca="1" si="45"/>
        <v>5.991988050579667E-2</v>
      </c>
    </row>
    <row r="301" spans="2:11" x14ac:dyDescent="0.25">
      <c r="D301" s="4" t="s">
        <v>39</v>
      </c>
      <c r="F301">
        <f>Definitions!G$7</f>
        <v>2.336333815415751E-4</v>
      </c>
      <c r="H301">
        <f>Definitions!G$33</f>
        <v>7.3226734992402288E-5</v>
      </c>
      <c r="I301" s="6">
        <f t="shared" si="48"/>
        <v>3.068601165339774E-4</v>
      </c>
      <c r="J301" s="1">
        <f t="shared" ca="1" si="46"/>
        <v>2.4243745974434034</v>
      </c>
      <c r="K301" s="1">
        <f t="shared" ca="1" si="45"/>
        <v>7.4394387149349732E-4</v>
      </c>
    </row>
    <row r="302" spans="2:11" x14ac:dyDescent="0.25">
      <c r="D302" s="4" t="s">
        <v>40</v>
      </c>
      <c r="F302">
        <f>Definitions!G$7</f>
        <v>2.336333815415751E-4</v>
      </c>
      <c r="H302">
        <f>Definitions!G$34</f>
        <v>8.557262120117759E-3</v>
      </c>
      <c r="I302" s="6">
        <f t="shared" si="48"/>
        <v>8.7908955016593338E-3</v>
      </c>
      <c r="J302" s="1">
        <f t="shared" ca="1" si="46"/>
        <v>2.4112037939791766</v>
      </c>
      <c r="K302" s="1">
        <f t="shared" ca="1" si="45"/>
        <v>2.1196640586075462E-2</v>
      </c>
    </row>
    <row r="303" spans="2:11" x14ac:dyDescent="0.25">
      <c r="B303" s="4"/>
      <c r="C303" s="4" t="s">
        <v>26</v>
      </c>
      <c r="D303" s="4" t="s">
        <v>19</v>
      </c>
      <c r="F303">
        <f>Definitions!G$7</f>
        <v>2.336333815415751E-4</v>
      </c>
      <c r="G303">
        <f>Definitions!G$15</f>
        <v>0.14734469250135696</v>
      </c>
      <c r="I303" s="6">
        <f t="shared" ref="I303" si="53">IF(1-(SUM(I304:I313))&lt;0,0,1-(SUM(I304:I313)))</f>
        <v>0</v>
      </c>
      <c r="J303" s="1">
        <f t="shared" ca="1" si="46"/>
        <v>5.9799449524020964</v>
      </c>
      <c r="K303" s="1">
        <f t="shared" ca="1" si="45"/>
        <v>0</v>
      </c>
    </row>
    <row r="304" spans="2:11" x14ac:dyDescent="0.25">
      <c r="D304" s="4" t="s">
        <v>32</v>
      </c>
      <c r="F304">
        <f>Definitions!G$7</f>
        <v>2.336333815415751E-4</v>
      </c>
      <c r="G304">
        <f>Definitions!G$15</f>
        <v>0.14734469250135696</v>
      </c>
      <c r="H304">
        <f>Definitions!G$25</f>
        <v>8.557262120117759E-3</v>
      </c>
      <c r="I304" s="6">
        <f t="shared" si="50"/>
        <v>0.1561355880030163</v>
      </c>
      <c r="J304" s="1">
        <f t="shared" ca="1" si="46"/>
        <v>5.3273184416379449</v>
      </c>
      <c r="K304" s="1">
        <f t="shared" ca="1" si="45"/>
        <v>0.83178399736445296</v>
      </c>
    </row>
    <row r="305" spans="2:11" x14ac:dyDescent="0.25">
      <c r="D305" s="4" t="s">
        <v>25</v>
      </c>
      <c r="F305">
        <f>Definitions!G$7</f>
        <v>2.336333815415751E-4</v>
      </c>
      <c r="G305">
        <f>Definitions!G$15</f>
        <v>0.14734469250135696</v>
      </c>
      <c r="H305">
        <f>Definitions!G$26</f>
        <v>7.3226734992402288E-5</v>
      </c>
      <c r="I305" s="6">
        <f t="shared" si="50"/>
        <v>0.14765155261789095</v>
      </c>
      <c r="J305" s="1">
        <f t="shared" ca="1" si="46"/>
        <v>2.3311984738415337</v>
      </c>
      <c r="K305" s="1">
        <f t="shared" ca="1" si="45"/>
        <v>0.34420507412316032</v>
      </c>
    </row>
    <row r="306" spans="2:11" x14ac:dyDescent="0.25">
      <c r="D306" s="4" t="s">
        <v>33</v>
      </c>
      <c r="F306">
        <f>Definitions!G$7</f>
        <v>2.336333815415751E-4</v>
      </c>
      <c r="G306">
        <f>Definitions!G$15</f>
        <v>0.14734469250135696</v>
      </c>
      <c r="H306">
        <f>Definitions!G$27</f>
        <v>6.266203655303857E-7</v>
      </c>
      <c r="I306" s="6">
        <f t="shared" si="50"/>
        <v>0.14757895250326408</v>
      </c>
      <c r="J306" s="1">
        <f t="shared" ca="1" si="46"/>
        <v>3.519835805735557</v>
      </c>
      <c r="K306" s="1">
        <f t="shared" ca="1" si="45"/>
        <v>0.51945368119393598</v>
      </c>
    </row>
    <row r="307" spans="2:11" x14ac:dyDescent="0.25">
      <c r="D307" s="4" t="s">
        <v>34</v>
      </c>
      <c r="F307">
        <f>Definitions!G$7</f>
        <v>2.336333815415751E-4</v>
      </c>
      <c r="G307">
        <f>Definitions!G$15</f>
        <v>0.14734469250135696</v>
      </c>
      <c r="H307">
        <f>Definitions!G$28</f>
        <v>5.3621547176475137E-9</v>
      </c>
      <c r="I307" s="6">
        <f t="shared" si="50"/>
        <v>0.14757833124505326</v>
      </c>
      <c r="J307" s="1">
        <f t="shared" ca="1" si="46"/>
        <v>5.5628340589421992</v>
      </c>
      <c r="K307" s="1">
        <f t="shared" ca="1" si="45"/>
        <v>0.82095376741183601</v>
      </c>
    </row>
    <row r="308" spans="2:11" x14ac:dyDescent="0.25">
      <c r="D308" s="4" t="s">
        <v>35</v>
      </c>
      <c r="F308">
        <f>Definitions!G$7</f>
        <v>2.336333815415751E-4</v>
      </c>
      <c r="G308">
        <f>Definitions!G$15</f>
        <v>0.14734469250135696</v>
      </c>
      <c r="H308">
        <f>Definitions!G$29</f>
        <v>8.557262120117759E-3</v>
      </c>
      <c r="I308" s="6">
        <f t="shared" si="50"/>
        <v>0.1561355880030163</v>
      </c>
      <c r="J308" s="1">
        <f t="shared" ca="1" si="46"/>
        <v>1.4006577866597199</v>
      </c>
      <c r="K308" s="1">
        <f t="shared" ca="1" si="45"/>
        <v>0.21869252711111872</v>
      </c>
    </row>
    <row r="309" spans="2:11" x14ac:dyDescent="0.25">
      <c r="D309" s="4" t="s">
        <v>36</v>
      </c>
      <c r="F309">
        <f>Definitions!G$7</f>
        <v>2.336333815415751E-4</v>
      </c>
      <c r="G309">
        <f>Definitions!G$15</f>
        <v>0.14734469250135696</v>
      </c>
      <c r="H309">
        <f>Definitions!G$30</f>
        <v>7.3226734992402288E-5</v>
      </c>
      <c r="I309" s="6">
        <f t="shared" si="50"/>
        <v>0.14765155261789095</v>
      </c>
      <c r="J309" s="1">
        <f t="shared" ca="1" si="46"/>
        <v>5.1316232634028465</v>
      </c>
      <c r="K309" s="1">
        <f t="shared" ca="1" si="45"/>
        <v>0.75769214229151871</v>
      </c>
    </row>
    <row r="310" spans="2:11" x14ac:dyDescent="0.25">
      <c r="D310" s="4" t="s">
        <v>37</v>
      </c>
      <c r="F310">
        <f>Definitions!G$7</f>
        <v>2.336333815415751E-4</v>
      </c>
      <c r="G310">
        <f>Definitions!G$15</f>
        <v>0.14734469250135696</v>
      </c>
      <c r="H310">
        <f>Definitions!G$31</f>
        <v>6.266203655303857E-7</v>
      </c>
      <c r="I310" s="6">
        <f t="shared" si="50"/>
        <v>0.14757895250326408</v>
      </c>
      <c r="J310" s="1">
        <f t="shared" ca="1" si="46"/>
        <v>9.3963168791728613E-2</v>
      </c>
      <c r="K310" s="1">
        <f t="shared" ca="1" si="45"/>
        <v>1.3866986024170703E-2</v>
      </c>
    </row>
    <row r="311" spans="2:11" x14ac:dyDescent="0.25">
      <c r="D311" s="4" t="s">
        <v>38</v>
      </c>
      <c r="F311">
        <f>Definitions!G$7</f>
        <v>2.336333815415751E-4</v>
      </c>
      <c r="G311">
        <f>Definitions!G$15</f>
        <v>0.14734469250135696</v>
      </c>
      <c r="H311">
        <f>Definitions!G$32</f>
        <v>8.557262120117759E-3</v>
      </c>
      <c r="I311" s="6">
        <f t="shared" si="48"/>
        <v>0.1561355880030163</v>
      </c>
      <c r="J311" s="1">
        <f t="shared" ca="1" si="46"/>
        <v>3.9658045352181248</v>
      </c>
      <c r="K311" s="1">
        <f t="shared" ca="1" si="45"/>
        <v>0.6192032230113107</v>
      </c>
    </row>
    <row r="312" spans="2:11" x14ac:dyDescent="0.25">
      <c r="D312" s="4" t="s">
        <v>39</v>
      </c>
      <c r="F312">
        <f>Definitions!G$7</f>
        <v>2.336333815415751E-4</v>
      </c>
      <c r="G312">
        <f>Definitions!G$15</f>
        <v>0.14734469250135696</v>
      </c>
      <c r="H312">
        <f>Definitions!G$33</f>
        <v>7.3226734992402288E-5</v>
      </c>
      <c r="I312" s="6">
        <f t="shared" si="48"/>
        <v>0.14765155261789095</v>
      </c>
      <c r="J312" s="1">
        <f t="shared" ca="1" si="46"/>
        <v>6.0229283620775345</v>
      </c>
      <c r="K312" s="1">
        <f t="shared" ca="1" si="45"/>
        <v>0.88929472396707887</v>
      </c>
    </row>
    <row r="313" spans="2:11" x14ac:dyDescent="0.25">
      <c r="D313" s="4" t="s">
        <v>40</v>
      </c>
      <c r="F313">
        <f>Definitions!G$7</f>
        <v>2.336333815415751E-4</v>
      </c>
      <c r="G313">
        <f>Definitions!G$15</f>
        <v>0.14734469250135696</v>
      </c>
      <c r="H313">
        <f>Definitions!G$34</f>
        <v>8.557262120117759E-3</v>
      </c>
      <c r="I313" s="6">
        <f t="shared" si="48"/>
        <v>0.1561355880030163</v>
      </c>
      <c r="J313" s="1">
        <f t="shared" ca="1" si="46"/>
        <v>3.6946629164256635</v>
      </c>
      <c r="K313" s="1">
        <f t="shared" ca="1" si="45"/>
        <v>0.57686836692906007</v>
      </c>
    </row>
    <row r="314" spans="2:11" x14ac:dyDescent="0.25">
      <c r="B314" s="4"/>
      <c r="C314" s="4" t="s">
        <v>27</v>
      </c>
      <c r="D314" s="4" t="s">
        <v>19</v>
      </c>
      <c r="F314">
        <f>Definitions!G$7</f>
        <v>2.336333815415751E-4</v>
      </c>
      <c r="G314">
        <f>Definitions!G$16</f>
        <v>2.1710458408319436E-2</v>
      </c>
      <c r="I314" s="6">
        <f t="shared" ref="I314" si="54">IF(1-(SUM(I315:I324))&lt;0,0,1-(SUM(I315:I324)))</f>
        <v>0.74610909481305576</v>
      </c>
      <c r="J314" s="1">
        <f t="shared" ca="1" si="46"/>
        <v>3.1477598704712078</v>
      </c>
      <c r="K314" s="1">
        <f t="shared" ca="1" si="45"/>
        <v>2.3485722676461345</v>
      </c>
    </row>
    <row r="315" spans="2:11" x14ac:dyDescent="0.25">
      <c r="D315" s="4" t="s">
        <v>32</v>
      </c>
      <c r="F315">
        <f>Definitions!G$7</f>
        <v>2.336333815415751E-4</v>
      </c>
      <c r="G315">
        <f>Definitions!G$16</f>
        <v>2.1710458408319436E-2</v>
      </c>
      <c r="H315">
        <f>Definitions!G$25</f>
        <v>8.557262120117759E-3</v>
      </c>
      <c r="I315" s="6">
        <f t="shared" si="50"/>
        <v>3.0501353909978771E-2</v>
      </c>
      <c r="J315" s="1">
        <f t="shared" ca="1" si="46"/>
        <v>3.8681106139200723</v>
      </c>
      <c r="K315" s="1">
        <f t="shared" ca="1" si="45"/>
        <v>0.11798261079812138</v>
      </c>
    </row>
    <row r="316" spans="2:11" x14ac:dyDescent="0.25">
      <c r="D316" s="4" t="s">
        <v>25</v>
      </c>
      <c r="F316">
        <f>Definitions!G$7</f>
        <v>2.336333815415751E-4</v>
      </c>
      <c r="G316">
        <f>Definitions!G$16</f>
        <v>2.1710458408319436E-2</v>
      </c>
      <c r="H316">
        <f>Definitions!G$26</f>
        <v>7.3226734992402288E-5</v>
      </c>
      <c r="I316" s="6">
        <f t="shared" si="50"/>
        <v>2.2017318524853415E-2</v>
      </c>
      <c r="J316" s="1">
        <f t="shared" ca="1" si="46"/>
        <v>5.2361106068824697</v>
      </c>
      <c r="K316" s="1">
        <f t="shared" ca="1" si="45"/>
        <v>0.11528511506309486</v>
      </c>
    </row>
    <row r="317" spans="2:11" x14ac:dyDescent="0.25">
      <c r="D317" s="4" t="s">
        <v>33</v>
      </c>
      <c r="F317">
        <f>Definitions!G$7</f>
        <v>2.336333815415751E-4</v>
      </c>
      <c r="G317">
        <f>Definitions!G$16</f>
        <v>2.1710458408319436E-2</v>
      </c>
      <c r="H317">
        <f>Definitions!G$27</f>
        <v>6.266203655303857E-7</v>
      </c>
      <c r="I317" s="6">
        <f t="shared" si="50"/>
        <v>2.1944718410226542E-2</v>
      </c>
      <c r="J317" s="1">
        <f t="shared" ca="1" si="46"/>
        <v>4.7576674679954847</v>
      </c>
      <c r="K317" s="1">
        <f t="shared" ca="1" si="45"/>
        <v>0.10440567287465641</v>
      </c>
    </row>
    <row r="318" spans="2:11" x14ac:dyDescent="0.25">
      <c r="D318" s="4" t="s">
        <v>34</v>
      </c>
      <c r="F318">
        <f>Definitions!G$7</f>
        <v>2.336333815415751E-4</v>
      </c>
      <c r="G318">
        <f>Definitions!G$16</f>
        <v>2.1710458408319436E-2</v>
      </c>
      <c r="H318">
        <f>Definitions!G$28</f>
        <v>5.3621547176475137E-9</v>
      </c>
      <c r="I318" s="6">
        <f t="shared" si="50"/>
        <v>2.1944097152015729E-2</v>
      </c>
      <c r="J318" s="1">
        <f t="shared" ca="1" si="46"/>
        <v>4.1609155234353805</v>
      </c>
      <c r="K318" s="1">
        <f t="shared" ref="K318:K381" ca="1" si="55">I318*J318</f>
        <v>9.1307534487596376E-2</v>
      </c>
    </row>
    <row r="319" spans="2:11" x14ac:dyDescent="0.25">
      <c r="D319" s="4" t="s">
        <v>35</v>
      </c>
      <c r="F319">
        <f>Definitions!G$7</f>
        <v>2.336333815415751E-4</v>
      </c>
      <c r="G319">
        <f>Definitions!G$16</f>
        <v>2.1710458408319436E-2</v>
      </c>
      <c r="H319">
        <f>Definitions!G$29</f>
        <v>8.557262120117759E-3</v>
      </c>
      <c r="I319" s="6">
        <f t="shared" si="50"/>
        <v>3.0501353909978771E-2</v>
      </c>
      <c r="J319" s="1">
        <f t="shared" ref="J319:J382" ca="1" si="56">_xlfn.NORM.INV(RAND(),4,2)</f>
        <v>3.804537289419736</v>
      </c>
      <c r="K319" s="1">
        <f t="shared" ca="1" si="55"/>
        <v>0.11604353832830271</v>
      </c>
    </row>
    <row r="320" spans="2:11" x14ac:dyDescent="0.25">
      <c r="D320" s="4" t="s">
        <v>36</v>
      </c>
      <c r="F320">
        <f>Definitions!G$7</f>
        <v>2.336333815415751E-4</v>
      </c>
      <c r="G320">
        <f>Definitions!G$16</f>
        <v>2.1710458408319436E-2</v>
      </c>
      <c r="H320">
        <f>Definitions!G$30</f>
        <v>7.3226734992402288E-5</v>
      </c>
      <c r="I320" s="6">
        <f t="shared" si="50"/>
        <v>2.2017318524853415E-2</v>
      </c>
      <c r="J320" s="1">
        <f t="shared" ca="1" si="56"/>
        <v>6.3914490861713649</v>
      </c>
      <c r="K320" s="1">
        <f t="shared" ca="1" si="55"/>
        <v>0.14072257036561822</v>
      </c>
    </row>
    <row r="321" spans="2:11" x14ac:dyDescent="0.25">
      <c r="D321" s="4" t="s">
        <v>37</v>
      </c>
      <c r="F321">
        <f>Definitions!G$7</f>
        <v>2.336333815415751E-4</v>
      </c>
      <c r="G321">
        <f>Definitions!G$16</f>
        <v>2.1710458408319436E-2</v>
      </c>
      <c r="H321">
        <f>Definitions!G$31</f>
        <v>6.266203655303857E-7</v>
      </c>
      <c r="I321" s="6">
        <f t="shared" si="50"/>
        <v>2.1944718410226542E-2</v>
      </c>
      <c r="J321" s="1">
        <f t="shared" ca="1" si="56"/>
        <v>6.023615841039577</v>
      </c>
      <c r="K321" s="1">
        <f t="shared" ca="1" si="55"/>
        <v>0.13218655344299343</v>
      </c>
    </row>
    <row r="322" spans="2:11" x14ac:dyDescent="0.25">
      <c r="D322" s="4" t="s">
        <v>38</v>
      </c>
      <c r="F322">
        <f>Definitions!G$7</f>
        <v>2.336333815415751E-4</v>
      </c>
      <c r="G322">
        <f>Definitions!G$16</f>
        <v>2.1710458408319436E-2</v>
      </c>
      <c r="H322">
        <f>Definitions!G$32</f>
        <v>8.557262120117759E-3</v>
      </c>
      <c r="I322" s="6">
        <f t="shared" si="48"/>
        <v>3.0501353909978771E-2</v>
      </c>
      <c r="J322" s="1">
        <f t="shared" ca="1" si="56"/>
        <v>2.6473015808315656</v>
      </c>
      <c r="K322" s="1">
        <f t="shared" ca="1" si="55"/>
        <v>8.0746282423389854E-2</v>
      </c>
    </row>
    <row r="323" spans="2:11" x14ac:dyDescent="0.25">
      <c r="D323" s="4" t="s">
        <v>39</v>
      </c>
      <c r="F323">
        <f>Definitions!G$7</f>
        <v>2.336333815415751E-4</v>
      </c>
      <c r="G323">
        <f>Definitions!G$16</f>
        <v>2.1710458408319436E-2</v>
      </c>
      <c r="H323">
        <f>Definitions!G$33</f>
        <v>7.3226734992402288E-5</v>
      </c>
      <c r="I323" s="6">
        <f t="shared" si="48"/>
        <v>2.2017318524853415E-2</v>
      </c>
      <c r="J323" s="1">
        <f t="shared" ca="1" si="56"/>
        <v>2.7531286114031372</v>
      </c>
      <c r="K323" s="1">
        <f t="shared" ca="1" si="55"/>
        <v>6.061650957715025E-2</v>
      </c>
    </row>
    <row r="324" spans="2:11" x14ac:dyDescent="0.25">
      <c r="D324" s="4" t="s">
        <v>40</v>
      </c>
      <c r="F324">
        <f>Definitions!G$7</f>
        <v>2.336333815415751E-4</v>
      </c>
      <c r="G324">
        <f>Definitions!G$16</f>
        <v>2.1710458408319436E-2</v>
      </c>
      <c r="H324">
        <f>Definitions!G$34</f>
        <v>8.557262120117759E-3</v>
      </c>
      <c r="I324" s="6">
        <f t="shared" si="48"/>
        <v>3.0501353909978771E-2</v>
      </c>
      <c r="J324" s="1">
        <f t="shared" ca="1" si="56"/>
        <v>6.9359684750614017</v>
      </c>
      <c r="K324" s="1">
        <f t="shared" ca="1" si="55"/>
        <v>0.21155642916630357</v>
      </c>
    </row>
    <row r="325" spans="2:11" x14ac:dyDescent="0.25">
      <c r="B325" s="4"/>
      <c r="C325" s="4" t="s">
        <v>28</v>
      </c>
      <c r="D325" s="4" t="s">
        <v>19</v>
      </c>
      <c r="F325">
        <f>Definitions!G$7</f>
        <v>2.336333815415751E-4</v>
      </c>
      <c r="G325">
        <f>Definitions!G$17</f>
        <v>8.4805222095781527E-4</v>
      </c>
      <c r="I325" s="6">
        <f t="shared" ref="I325" si="57">IF(1-(SUM(I326:I335))&lt;0,0,1-(SUM(I326:I335)))</f>
        <v>0.95473315668667214</v>
      </c>
      <c r="J325" s="1">
        <f t="shared" ca="1" si="56"/>
        <v>2.416476449156054</v>
      </c>
      <c r="K325" s="1">
        <f t="shared" ca="1" si="55"/>
        <v>2.3070901883617601</v>
      </c>
    </row>
    <row r="326" spans="2:11" x14ac:dyDescent="0.25">
      <c r="D326" s="4" t="s">
        <v>32</v>
      </c>
      <c r="F326">
        <f>Definitions!G$7</f>
        <v>2.336333815415751E-4</v>
      </c>
      <c r="G326">
        <f>Definitions!G$17</f>
        <v>8.4805222095781527E-4</v>
      </c>
      <c r="H326">
        <f>Definitions!G$25</f>
        <v>8.557262120117759E-3</v>
      </c>
      <c r="I326" s="6">
        <f t="shared" si="50"/>
        <v>9.6389477226171486E-3</v>
      </c>
      <c r="J326" s="1">
        <f t="shared" ca="1" si="56"/>
        <v>5.1426218373142412</v>
      </c>
      <c r="K326" s="1">
        <f t="shared" ca="1" si="55"/>
        <v>4.9569463047061321E-2</v>
      </c>
    </row>
    <row r="327" spans="2:11" x14ac:dyDescent="0.25">
      <c r="D327" s="4" t="s">
        <v>25</v>
      </c>
      <c r="F327">
        <f>Definitions!G$7</f>
        <v>2.336333815415751E-4</v>
      </c>
      <c r="G327">
        <f>Definitions!G$17</f>
        <v>8.4805222095781527E-4</v>
      </c>
      <c r="H327">
        <f>Definitions!G$26</f>
        <v>7.3226734992402288E-5</v>
      </c>
      <c r="I327" s="6">
        <f t="shared" si="50"/>
        <v>1.1549123374917927E-3</v>
      </c>
      <c r="J327" s="1">
        <f t="shared" ca="1" si="56"/>
        <v>3.7403988177593859</v>
      </c>
      <c r="K327" s="1">
        <f t="shared" ca="1" si="55"/>
        <v>4.31983274177003E-3</v>
      </c>
    </row>
    <row r="328" spans="2:11" x14ac:dyDescent="0.25">
      <c r="D328" s="4" t="s">
        <v>33</v>
      </c>
      <c r="F328">
        <f>Definitions!G$7</f>
        <v>2.336333815415751E-4</v>
      </c>
      <c r="G328">
        <f>Definitions!G$17</f>
        <v>8.4805222095781527E-4</v>
      </c>
      <c r="H328">
        <f>Definitions!G$27</f>
        <v>6.266203655303857E-7</v>
      </c>
      <c r="I328" s="6">
        <f t="shared" si="50"/>
        <v>1.0823122228649207E-3</v>
      </c>
      <c r="J328" s="1">
        <f t="shared" ca="1" si="56"/>
        <v>5.5131151298468728</v>
      </c>
      <c r="K328" s="1">
        <f t="shared" ca="1" si="55"/>
        <v>5.9669118910947953E-3</v>
      </c>
    </row>
    <row r="329" spans="2:11" x14ac:dyDescent="0.25">
      <c r="D329" s="4" t="s">
        <v>34</v>
      </c>
      <c r="F329">
        <f>Definitions!G$7</f>
        <v>2.336333815415751E-4</v>
      </c>
      <c r="G329">
        <f>Definitions!G$17</f>
        <v>8.4805222095781527E-4</v>
      </c>
      <c r="H329">
        <f>Definitions!G$28</f>
        <v>5.3621547176475137E-9</v>
      </c>
      <c r="I329" s="6">
        <f t="shared" si="50"/>
        <v>1.0816909646541081E-3</v>
      </c>
      <c r="J329" s="1">
        <f t="shared" ca="1" si="56"/>
        <v>2.4955961160354319</v>
      </c>
      <c r="K329" s="1">
        <f t="shared" ca="1" si="55"/>
        <v>2.6994637701414116E-3</v>
      </c>
    </row>
    <row r="330" spans="2:11" x14ac:dyDescent="0.25">
      <c r="D330" s="4" t="s">
        <v>35</v>
      </c>
      <c r="F330">
        <f>Definitions!G$7</f>
        <v>2.336333815415751E-4</v>
      </c>
      <c r="G330">
        <f>Definitions!G$17</f>
        <v>8.4805222095781527E-4</v>
      </c>
      <c r="H330">
        <f>Definitions!G$29</f>
        <v>8.557262120117759E-3</v>
      </c>
      <c r="I330" s="6">
        <f t="shared" si="50"/>
        <v>9.6389477226171486E-3</v>
      </c>
      <c r="J330" s="1">
        <f t="shared" ca="1" si="56"/>
        <v>4.8666097729872728</v>
      </c>
      <c r="K330" s="1">
        <f t="shared" ca="1" si="55"/>
        <v>4.6908997188202031E-2</v>
      </c>
    </row>
    <row r="331" spans="2:11" x14ac:dyDescent="0.25">
      <c r="D331" s="4" t="s">
        <v>36</v>
      </c>
      <c r="F331">
        <f>Definitions!G$7</f>
        <v>2.336333815415751E-4</v>
      </c>
      <c r="G331">
        <f>Definitions!G$17</f>
        <v>8.4805222095781527E-4</v>
      </c>
      <c r="H331">
        <f>Definitions!G$30</f>
        <v>7.3226734992402288E-5</v>
      </c>
      <c r="I331" s="6">
        <f t="shared" si="50"/>
        <v>1.1549123374917927E-3</v>
      </c>
      <c r="J331" s="1">
        <f t="shared" ca="1" si="56"/>
        <v>2.3476548697858437</v>
      </c>
      <c r="K331" s="1">
        <f t="shared" ca="1" si="55"/>
        <v>2.7113355732883591E-3</v>
      </c>
    </row>
    <row r="332" spans="2:11" x14ac:dyDescent="0.25">
      <c r="D332" s="4" t="s">
        <v>37</v>
      </c>
      <c r="F332">
        <f>Definitions!G$7</f>
        <v>2.336333815415751E-4</v>
      </c>
      <c r="G332">
        <f>Definitions!G$17</f>
        <v>8.4805222095781527E-4</v>
      </c>
      <c r="H332">
        <f>Definitions!G$31</f>
        <v>6.266203655303857E-7</v>
      </c>
      <c r="I332" s="6">
        <f t="shared" si="50"/>
        <v>1.0823122228649207E-3</v>
      </c>
      <c r="J332" s="1">
        <f t="shared" ca="1" si="56"/>
        <v>2.206368957058209</v>
      </c>
      <c r="K332" s="1">
        <f t="shared" ca="1" si="55"/>
        <v>2.387980090373827E-3</v>
      </c>
    </row>
    <row r="333" spans="2:11" x14ac:dyDescent="0.25">
      <c r="D333" s="4" t="s">
        <v>38</v>
      </c>
      <c r="F333">
        <f>Definitions!G$7</f>
        <v>2.336333815415751E-4</v>
      </c>
      <c r="G333">
        <f>Definitions!G$17</f>
        <v>8.4805222095781527E-4</v>
      </c>
      <c r="H333">
        <f>Definitions!G$32</f>
        <v>8.557262120117759E-3</v>
      </c>
      <c r="I333" s="6">
        <f t="shared" si="50"/>
        <v>9.6389477226171486E-3</v>
      </c>
      <c r="J333" s="1">
        <f t="shared" ca="1" si="56"/>
        <v>4.5791766561108114</v>
      </c>
      <c r="K333" s="1">
        <f t="shared" ca="1" si="55"/>
        <v>4.4138444400880918E-2</v>
      </c>
    </row>
    <row r="334" spans="2:11" x14ac:dyDescent="0.25">
      <c r="D334" s="4" t="s">
        <v>39</v>
      </c>
      <c r="F334">
        <f>Definitions!G$7</f>
        <v>2.336333815415751E-4</v>
      </c>
      <c r="G334">
        <f>Definitions!G$17</f>
        <v>8.4805222095781527E-4</v>
      </c>
      <c r="H334">
        <f>Definitions!G$33</f>
        <v>7.3226734992402288E-5</v>
      </c>
      <c r="I334" s="6">
        <f t="shared" si="50"/>
        <v>1.1549123374917927E-3</v>
      </c>
      <c r="J334" s="1">
        <f t="shared" ca="1" si="56"/>
        <v>1.8050352601465773</v>
      </c>
      <c r="K334" s="1">
        <f t="shared" ca="1" si="55"/>
        <v>2.0846574915509898E-3</v>
      </c>
    </row>
    <row r="335" spans="2:11" x14ac:dyDescent="0.25">
      <c r="D335" s="4" t="s">
        <v>40</v>
      </c>
      <c r="F335">
        <f>Definitions!G$7</f>
        <v>2.336333815415751E-4</v>
      </c>
      <c r="G335">
        <f>Definitions!G$17</f>
        <v>8.4805222095781527E-4</v>
      </c>
      <c r="H335">
        <f>Definitions!G$34</f>
        <v>8.557262120117759E-3</v>
      </c>
      <c r="I335" s="6">
        <f t="shared" ref="I335:I390" si="58">SUM(F335+G335+H335)</f>
        <v>9.6389477226171486E-3</v>
      </c>
      <c r="J335" s="1">
        <f t="shared" ca="1" si="56"/>
        <v>6.0014399131592331</v>
      </c>
      <c r="K335" s="1">
        <f t="shared" ca="1" si="55"/>
        <v>5.7847565583369849E-2</v>
      </c>
    </row>
    <row r="336" spans="2:11" x14ac:dyDescent="0.25">
      <c r="B336" s="4"/>
      <c r="C336" s="4" t="s">
        <v>29</v>
      </c>
      <c r="D336" s="4" t="s">
        <v>19</v>
      </c>
      <c r="F336">
        <f>Definitions!G$7</f>
        <v>2.336333815415751E-4</v>
      </c>
      <c r="G336">
        <f>Definitions!G$18</f>
        <v>0.14734469250135696</v>
      </c>
      <c r="I336" s="6">
        <f t="shared" ref="I336" si="59">IF(1-(SUM(I337:I346))&lt;0,0,1-(SUM(I337:I346)))</f>
        <v>0</v>
      </c>
      <c r="J336" s="1">
        <f t="shared" ca="1" si="56"/>
        <v>3.4051253279523621</v>
      </c>
      <c r="K336" s="1">
        <f t="shared" ca="1" si="55"/>
        <v>0</v>
      </c>
    </row>
    <row r="337" spans="2:11" x14ac:dyDescent="0.25">
      <c r="D337" s="4" t="s">
        <v>32</v>
      </c>
      <c r="F337">
        <f>Definitions!G$7</f>
        <v>2.336333815415751E-4</v>
      </c>
      <c r="G337">
        <f>Definitions!G$18</f>
        <v>0.14734469250135696</v>
      </c>
      <c r="H337">
        <f>Definitions!G$25</f>
        <v>8.557262120117759E-3</v>
      </c>
      <c r="I337" s="6">
        <f t="shared" ref="I337:I400" si="60">SUM(F337+G337+H337)</f>
        <v>0.1561355880030163</v>
      </c>
      <c r="J337" s="1">
        <f t="shared" ca="1" si="56"/>
        <v>3.7218345228640066</v>
      </c>
      <c r="K337" s="1">
        <f t="shared" ca="1" si="55"/>
        <v>0.58111082167729733</v>
      </c>
    </row>
    <row r="338" spans="2:11" x14ac:dyDescent="0.25">
      <c r="D338" s="4" t="s">
        <v>25</v>
      </c>
      <c r="F338">
        <f>Definitions!G$7</f>
        <v>2.336333815415751E-4</v>
      </c>
      <c r="G338">
        <f>Definitions!G$18</f>
        <v>0.14734469250135696</v>
      </c>
      <c r="H338">
        <f>Definitions!G$26</f>
        <v>7.3226734992402288E-5</v>
      </c>
      <c r="I338" s="6">
        <f t="shared" si="60"/>
        <v>0.14765155261789095</v>
      </c>
      <c r="J338" s="1">
        <f t="shared" ca="1" si="56"/>
        <v>2.2428202953210237</v>
      </c>
      <c r="K338" s="1">
        <f t="shared" ca="1" si="55"/>
        <v>0.33115589884706587</v>
      </c>
    </row>
    <row r="339" spans="2:11" x14ac:dyDescent="0.25">
      <c r="D339" s="4" t="s">
        <v>33</v>
      </c>
      <c r="F339">
        <f>Definitions!G$7</f>
        <v>2.336333815415751E-4</v>
      </c>
      <c r="G339">
        <f>Definitions!G$18</f>
        <v>0.14734469250135696</v>
      </c>
      <c r="H339">
        <f>Definitions!G$27</f>
        <v>6.266203655303857E-7</v>
      </c>
      <c r="I339" s="6">
        <f t="shared" si="60"/>
        <v>0.14757895250326408</v>
      </c>
      <c r="J339" s="1">
        <f t="shared" ca="1" si="56"/>
        <v>2.4468270002278714</v>
      </c>
      <c r="K339" s="1">
        <f t="shared" ca="1" si="55"/>
        <v>0.36110016565033315</v>
      </c>
    </row>
    <row r="340" spans="2:11" x14ac:dyDescent="0.25">
      <c r="D340" s="4" t="s">
        <v>34</v>
      </c>
      <c r="F340">
        <f>Definitions!G$7</f>
        <v>2.336333815415751E-4</v>
      </c>
      <c r="G340">
        <f>Definitions!G$18</f>
        <v>0.14734469250135696</v>
      </c>
      <c r="H340">
        <f>Definitions!G$28</f>
        <v>5.3621547176475137E-9</v>
      </c>
      <c r="I340" s="6">
        <f t="shared" si="60"/>
        <v>0.14757833124505326</v>
      </c>
      <c r="J340" s="1">
        <f t="shared" ca="1" si="56"/>
        <v>1.9944043589268339</v>
      </c>
      <c r="K340" s="1">
        <f t="shared" ca="1" si="55"/>
        <v>0.29433086711828238</v>
      </c>
    </row>
    <row r="341" spans="2:11" x14ac:dyDescent="0.25">
      <c r="D341" s="4" t="s">
        <v>35</v>
      </c>
      <c r="F341">
        <f>Definitions!G$7</f>
        <v>2.336333815415751E-4</v>
      </c>
      <c r="G341">
        <f>Definitions!G$18</f>
        <v>0.14734469250135696</v>
      </c>
      <c r="H341">
        <f>Definitions!G$29</f>
        <v>8.557262120117759E-3</v>
      </c>
      <c r="I341" s="6">
        <f t="shared" si="60"/>
        <v>0.1561355880030163</v>
      </c>
      <c r="J341" s="1">
        <f t="shared" ca="1" si="56"/>
        <v>5.6731734184136364</v>
      </c>
      <c r="K341" s="1">
        <f t="shared" ca="1" si="55"/>
        <v>0.88578426752709516</v>
      </c>
    </row>
    <row r="342" spans="2:11" x14ac:dyDescent="0.25">
      <c r="D342" s="4" t="s">
        <v>36</v>
      </c>
      <c r="F342">
        <f>Definitions!G$7</f>
        <v>2.336333815415751E-4</v>
      </c>
      <c r="G342">
        <f>Definitions!G$18</f>
        <v>0.14734469250135696</v>
      </c>
      <c r="H342">
        <f>Definitions!G$30</f>
        <v>7.3226734992402288E-5</v>
      </c>
      <c r="I342" s="6">
        <f t="shared" si="60"/>
        <v>0.14765155261789095</v>
      </c>
      <c r="J342" s="1">
        <f t="shared" ca="1" si="56"/>
        <v>6.2010932246081794</v>
      </c>
      <c r="K342" s="1">
        <f t="shared" ca="1" si="55"/>
        <v>0.91560104254168162</v>
      </c>
    </row>
    <row r="343" spans="2:11" x14ac:dyDescent="0.25">
      <c r="D343" s="4" t="s">
        <v>37</v>
      </c>
      <c r="F343">
        <f>Definitions!G$7</f>
        <v>2.336333815415751E-4</v>
      </c>
      <c r="G343">
        <f>Definitions!G$18</f>
        <v>0.14734469250135696</v>
      </c>
      <c r="H343">
        <f>Definitions!G$31</f>
        <v>6.266203655303857E-7</v>
      </c>
      <c r="I343" s="6">
        <f t="shared" si="60"/>
        <v>0.14757895250326408</v>
      </c>
      <c r="J343" s="1">
        <f t="shared" ca="1" si="56"/>
        <v>4.8974286838044137</v>
      </c>
      <c r="K343" s="1">
        <f t="shared" ca="1" si="55"/>
        <v>0.72275739511529469</v>
      </c>
    </row>
    <row r="344" spans="2:11" x14ac:dyDescent="0.25">
      <c r="D344" s="4" t="s">
        <v>38</v>
      </c>
      <c r="F344">
        <f>Definitions!G$7</f>
        <v>2.336333815415751E-4</v>
      </c>
      <c r="G344">
        <f>Definitions!G$18</f>
        <v>0.14734469250135696</v>
      </c>
      <c r="H344">
        <f>Definitions!G$32</f>
        <v>8.557262120117759E-3</v>
      </c>
      <c r="I344" s="6">
        <f t="shared" si="58"/>
        <v>0.1561355880030163</v>
      </c>
      <c r="J344" s="1">
        <f t="shared" ca="1" si="56"/>
        <v>3.5567340736303459</v>
      </c>
      <c r="K344" s="1">
        <f t="shared" ca="1" si="55"/>
        <v>0.5553327659566375</v>
      </c>
    </row>
    <row r="345" spans="2:11" x14ac:dyDescent="0.25">
      <c r="D345" s="4" t="s">
        <v>39</v>
      </c>
      <c r="F345">
        <f>Definitions!G$7</f>
        <v>2.336333815415751E-4</v>
      </c>
      <c r="G345">
        <f>Definitions!G$18</f>
        <v>0.14734469250135696</v>
      </c>
      <c r="H345">
        <f>Definitions!G$33</f>
        <v>7.3226734992402288E-5</v>
      </c>
      <c r="I345" s="6">
        <f t="shared" si="58"/>
        <v>0.14765155261789095</v>
      </c>
      <c r="J345" s="1">
        <f t="shared" ca="1" si="56"/>
        <v>6.2212290408255928</v>
      </c>
      <c r="K345" s="1">
        <f t="shared" ca="1" si="55"/>
        <v>0.91857412706941133</v>
      </c>
    </row>
    <row r="346" spans="2:11" x14ac:dyDescent="0.25">
      <c r="D346" s="4" t="s">
        <v>40</v>
      </c>
      <c r="F346">
        <f>Definitions!G$7</f>
        <v>2.336333815415751E-4</v>
      </c>
      <c r="G346">
        <f>Definitions!G$18</f>
        <v>0.14734469250135696</v>
      </c>
      <c r="H346">
        <f>Definitions!G$34</f>
        <v>8.557262120117759E-3</v>
      </c>
      <c r="I346" s="6">
        <f t="shared" si="58"/>
        <v>0.1561355880030163</v>
      </c>
      <c r="J346" s="1">
        <f t="shared" ca="1" si="56"/>
        <v>6.9617364245085058</v>
      </c>
      <c r="K346" s="1">
        <f t="shared" ca="1" si="55"/>
        <v>1.086974810162652</v>
      </c>
    </row>
    <row r="347" spans="2:11" x14ac:dyDescent="0.25">
      <c r="B347" s="4"/>
      <c r="C347" s="4" t="s">
        <v>30</v>
      </c>
      <c r="D347" s="4" t="s">
        <v>19</v>
      </c>
      <c r="F347">
        <f>Definitions!G$7</f>
        <v>2.336333815415751E-4</v>
      </c>
      <c r="G347">
        <f>Definitions!G$18</f>
        <v>0.14734469250135696</v>
      </c>
      <c r="I347" s="6">
        <f t="shared" ref="I347" si="61">IF(1-(SUM(I348:I357))&lt;0,0,1-(SUM(I348:I357)))</f>
        <v>0.90565801085276065</v>
      </c>
      <c r="J347" s="1">
        <f t="shared" ca="1" si="56"/>
        <v>5.0773033812606227</v>
      </c>
      <c r="K347" s="1">
        <f t="shared" ca="1" si="55"/>
        <v>4.5983004807684917</v>
      </c>
    </row>
    <row r="348" spans="2:11" x14ac:dyDescent="0.25">
      <c r="D348" s="4" t="s">
        <v>32</v>
      </c>
      <c r="F348">
        <f>Definitions!G$7</f>
        <v>2.336333815415751E-4</v>
      </c>
      <c r="G348">
        <f>Definitions!G$19</f>
        <v>5.75556680434896E-3</v>
      </c>
      <c r="H348">
        <f>Definitions!G$25</f>
        <v>8.557262120117759E-3</v>
      </c>
      <c r="I348" s="6">
        <f t="shared" si="60"/>
        <v>1.4546462306008295E-2</v>
      </c>
      <c r="J348" s="1">
        <f t="shared" ca="1" si="56"/>
        <v>0.95798700911613333</v>
      </c>
      <c r="K348" s="1">
        <f t="shared" ca="1" si="55"/>
        <v>1.3935321917753459E-2</v>
      </c>
    </row>
    <row r="349" spans="2:11" x14ac:dyDescent="0.25">
      <c r="D349" s="4" t="s">
        <v>25</v>
      </c>
      <c r="F349">
        <f>Definitions!G$7</f>
        <v>2.336333815415751E-4</v>
      </c>
      <c r="G349">
        <f>Definitions!G$19</f>
        <v>5.75556680434896E-3</v>
      </c>
      <c r="H349">
        <f>Definitions!G$26</f>
        <v>7.3226734992402288E-5</v>
      </c>
      <c r="I349" s="6">
        <f t="shared" si="60"/>
        <v>6.0624269208829368E-3</v>
      </c>
      <c r="J349" s="1">
        <f t="shared" ca="1" si="56"/>
        <v>3.976793238859738</v>
      </c>
      <c r="K349" s="1">
        <f t="shared" ca="1" si="55"/>
        <v>2.4109018390048524E-2</v>
      </c>
    </row>
    <row r="350" spans="2:11" x14ac:dyDescent="0.25">
      <c r="D350" s="4" t="s">
        <v>33</v>
      </c>
      <c r="F350">
        <f>Definitions!G$7</f>
        <v>2.336333815415751E-4</v>
      </c>
      <c r="G350">
        <f>Definitions!G$19</f>
        <v>5.75556680434896E-3</v>
      </c>
      <c r="H350">
        <f>Definitions!G$27</f>
        <v>6.266203655303857E-7</v>
      </c>
      <c r="I350" s="6">
        <f t="shared" si="60"/>
        <v>5.9898268062560656E-3</v>
      </c>
      <c r="J350" s="1">
        <f t="shared" ca="1" si="56"/>
        <v>5.6719042326526949</v>
      </c>
      <c r="K350" s="1">
        <f t="shared" ca="1" si="55"/>
        <v>3.3973724015260352E-2</v>
      </c>
    </row>
    <row r="351" spans="2:11" x14ac:dyDescent="0.25">
      <c r="D351" s="4" t="s">
        <v>34</v>
      </c>
      <c r="F351">
        <f>Definitions!G$7</f>
        <v>2.336333815415751E-4</v>
      </c>
      <c r="G351">
        <f>Definitions!G$19</f>
        <v>5.75556680434896E-3</v>
      </c>
      <c r="H351">
        <f>Definitions!G$28</f>
        <v>5.3621547176475137E-9</v>
      </c>
      <c r="I351" s="6">
        <f t="shared" si="60"/>
        <v>5.9892055480452525E-3</v>
      </c>
      <c r="J351" s="1">
        <f t="shared" ca="1" si="56"/>
        <v>5.3442398383002025</v>
      </c>
      <c r="K351" s="1">
        <f t="shared" ca="1" si="55"/>
        <v>3.2007750889632036E-2</v>
      </c>
    </row>
    <row r="352" spans="2:11" x14ac:dyDescent="0.25">
      <c r="D352" s="4" t="s">
        <v>35</v>
      </c>
      <c r="F352">
        <f>Definitions!G$7</f>
        <v>2.336333815415751E-4</v>
      </c>
      <c r="G352">
        <f>Definitions!G$19</f>
        <v>5.75556680434896E-3</v>
      </c>
      <c r="H352">
        <f>Definitions!G$29</f>
        <v>8.557262120117759E-3</v>
      </c>
      <c r="I352" s="6">
        <f t="shared" si="60"/>
        <v>1.4546462306008295E-2</v>
      </c>
      <c r="J352" s="1">
        <f t="shared" ca="1" si="56"/>
        <v>4.4666250676165236</v>
      </c>
      <c r="K352" s="1">
        <f t="shared" ca="1" si="55"/>
        <v>6.4973593181155517E-2</v>
      </c>
    </row>
    <row r="353" spans="2:11" x14ac:dyDescent="0.25">
      <c r="D353" s="4" t="s">
        <v>36</v>
      </c>
      <c r="F353">
        <f>Definitions!G$7</f>
        <v>2.336333815415751E-4</v>
      </c>
      <c r="G353">
        <f>Definitions!G$19</f>
        <v>5.75556680434896E-3</v>
      </c>
      <c r="H353">
        <f>Definitions!G$30</f>
        <v>7.3226734992402288E-5</v>
      </c>
      <c r="I353" s="6">
        <f t="shared" si="60"/>
        <v>6.0624269208829368E-3</v>
      </c>
      <c r="J353" s="1">
        <f t="shared" ca="1" si="56"/>
        <v>3.147585700716149</v>
      </c>
      <c r="K353" s="1">
        <f t="shared" ca="1" si="55"/>
        <v>1.9082008287807765E-2</v>
      </c>
    </row>
    <row r="354" spans="2:11" x14ac:dyDescent="0.25">
      <c r="D354" s="4" t="s">
        <v>37</v>
      </c>
      <c r="F354">
        <f>Definitions!G$7</f>
        <v>2.336333815415751E-4</v>
      </c>
      <c r="G354">
        <f>Definitions!G$19</f>
        <v>5.75556680434896E-3</v>
      </c>
      <c r="H354">
        <f>Definitions!G$31</f>
        <v>6.266203655303857E-7</v>
      </c>
      <c r="I354" s="6">
        <f t="shared" si="60"/>
        <v>5.9898268062560656E-3</v>
      </c>
      <c r="J354" s="1">
        <f t="shared" ca="1" si="56"/>
        <v>2.3097341946198133</v>
      </c>
      <c r="K354" s="1">
        <f t="shared" ca="1" si="55"/>
        <v>1.3834907794260023E-2</v>
      </c>
    </row>
    <row r="355" spans="2:11" x14ac:dyDescent="0.25">
      <c r="D355" s="4" t="s">
        <v>38</v>
      </c>
      <c r="F355">
        <f>Definitions!G$7</f>
        <v>2.336333815415751E-4</v>
      </c>
      <c r="G355">
        <f>Definitions!G$19</f>
        <v>5.75556680434896E-3</v>
      </c>
      <c r="H355">
        <f>Definitions!G$32</f>
        <v>8.557262120117759E-3</v>
      </c>
      <c r="I355" s="6">
        <f t="shared" si="58"/>
        <v>1.4546462306008295E-2</v>
      </c>
      <c r="J355" s="1">
        <f t="shared" ca="1" si="56"/>
        <v>3.4772168086625759</v>
      </c>
      <c r="K355" s="1">
        <f t="shared" ca="1" si="55"/>
        <v>5.0581203237028617E-2</v>
      </c>
    </row>
    <row r="356" spans="2:11" x14ac:dyDescent="0.25">
      <c r="D356" s="4" t="s">
        <v>39</v>
      </c>
      <c r="F356">
        <f>Definitions!G$7</f>
        <v>2.336333815415751E-4</v>
      </c>
      <c r="G356">
        <f>Definitions!G$19</f>
        <v>5.75556680434896E-3</v>
      </c>
      <c r="H356">
        <f>Definitions!G$33</f>
        <v>7.3226734992402288E-5</v>
      </c>
      <c r="I356" s="6">
        <f t="shared" si="58"/>
        <v>6.0624269208829368E-3</v>
      </c>
      <c r="J356" s="1">
        <f t="shared" ca="1" si="56"/>
        <v>-0.15405074490270643</v>
      </c>
      <c r="K356" s="1">
        <f t="shared" ca="1" si="55"/>
        <v>-9.3392138308023734E-4</v>
      </c>
    </row>
    <row r="357" spans="2:11" x14ac:dyDescent="0.25">
      <c r="D357" s="4" t="s">
        <v>40</v>
      </c>
      <c r="F357">
        <f>Definitions!G$7</f>
        <v>2.336333815415751E-4</v>
      </c>
      <c r="G357">
        <f>Definitions!G$19</f>
        <v>5.75556680434896E-3</v>
      </c>
      <c r="H357">
        <f>Definitions!G$34</f>
        <v>8.557262120117759E-3</v>
      </c>
      <c r="I357" s="6">
        <f t="shared" si="58"/>
        <v>1.4546462306008295E-2</v>
      </c>
      <c r="J357" s="1">
        <f t="shared" ca="1" si="56"/>
        <v>3.6467852730721058</v>
      </c>
      <c r="K357" s="1">
        <f t="shared" ca="1" si="55"/>
        <v>5.3047824512849555E-2</v>
      </c>
    </row>
    <row r="358" spans="2:11" x14ac:dyDescent="0.25">
      <c r="B358" s="4"/>
      <c r="C358" s="4" t="s">
        <v>31</v>
      </c>
      <c r="D358" s="4" t="s">
        <v>19</v>
      </c>
      <c r="F358">
        <f>Definitions!G$7</f>
        <v>2.336333815415751E-4</v>
      </c>
      <c r="G358">
        <f>Definitions!G$19</f>
        <v>5.75556680434896E-3</v>
      </c>
      <c r="I358" s="6">
        <f t="shared" ref="I358" si="62">IF(1-(SUM(I359:I368))&lt;0,0,1-(SUM(I359:I368)))</f>
        <v>0.57259446441073658</v>
      </c>
      <c r="J358" s="1">
        <f t="shared" ca="1" si="56"/>
        <v>6.4330893060992107</v>
      </c>
      <c r="K358" s="1">
        <f t="shared" ca="1" si="55"/>
        <v>3.6835513257323145</v>
      </c>
    </row>
    <row r="359" spans="2:11" x14ac:dyDescent="0.25">
      <c r="D359" s="4" t="s">
        <v>32</v>
      </c>
      <c r="F359">
        <f>Definitions!G$7</f>
        <v>2.336333815415751E-4</v>
      </c>
      <c r="G359">
        <f>Definitions!G$20</f>
        <v>3.9061921448551362E-2</v>
      </c>
      <c r="H359">
        <f>Definitions!G$25</f>
        <v>8.557262120117759E-3</v>
      </c>
      <c r="I359" s="6">
        <f t="shared" si="60"/>
        <v>4.7852816950210694E-2</v>
      </c>
      <c r="J359" s="1">
        <f t="shared" ca="1" si="56"/>
        <v>4.5490919570655048</v>
      </c>
      <c r="K359" s="1">
        <f t="shared" ca="1" si="55"/>
        <v>0.21768686471113133</v>
      </c>
    </row>
    <row r="360" spans="2:11" x14ac:dyDescent="0.25">
      <c r="D360" s="4" t="s">
        <v>25</v>
      </c>
      <c r="F360">
        <f>Definitions!G$7</f>
        <v>2.336333815415751E-4</v>
      </c>
      <c r="G360">
        <f>Definitions!G$20</f>
        <v>3.9061921448551362E-2</v>
      </c>
      <c r="H360">
        <f>Definitions!G$26</f>
        <v>7.3226734992402288E-5</v>
      </c>
      <c r="I360" s="6">
        <f t="shared" si="60"/>
        <v>3.9368781565085338E-2</v>
      </c>
      <c r="J360" s="1">
        <f t="shared" ca="1" si="56"/>
        <v>5.9685781550011674</v>
      </c>
      <c r="K360" s="1">
        <f t="shared" ca="1" si="55"/>
        <v>0.23497564963838102</v>
      </c>
    </row>
    <row r="361" spans="2:11" x14ac:dyDescent="0.25">
      <c r="D361" s="4" t="s">
        <v>33</v>
      </c>
      <c r="F361">
        <f>Definitions!G$7</f>
        <v>2.336333815415751E-4</v>
      </c>
      <c r="G361">
        <f>Definitions!G$20</f>
        <v>3.9061921448551362E-2</v>
      </c>
      <c r="H361">
        <f>Definitions!G$27</f>
        <v>6.266203655303857E-7</v>
      </c>
      <c r="I361" s="6">
        <f t="shared" si="60"/>
        <v>3.9296181450458469E-2</v>
      </c>
      <c r="J361" s="1">
        <f t="shared" ca="1" si="56"/>
        <v>3.4987837399635149</v>
      </c>
      <c r="K361" s="1">
        <f t="shared" ca="1" si="55"/>
        <v>0.13748884070151998</v>
      </c>
    </row>
    <row r="362" spans="2:11" x14ac:dyDescent="0.25">
      <c r="D362" s="4" t="s">
        <v>34</v>
      </c>
      <c r="F362">
        <f>Definitions!G$7</f>
        <v>2.336333815415751E-4</v>
      </c>
      <c r="G362">
        <f>Definitions!G$20</f>
        <v>3.9061921448551362E-2</v>
      </c>
      <c r="H362">
        <f>Definitions!G$28</f>
        <v>5.3621547176475137E-9</v>
      </c>
      <c r="I362" s="6">
        <f t="shared" si="60"/>
        <v>3.9295560192247656E-2</v>
      </c>
      <c r="J362" s="1">
        <f t="shared" ca="1" si="56"/>
        <v>-1.5716408139132998</v>
      </c>
      <c r="K362" s="1">
        <f t="shared" ca="1" si="55"/>
        <v>-6.1758506203723168E-2</v>
      </c>
    </row>
    <row r="363" spans="2:11" x14ac:dyDescent="0.25">
      <c r="D363" s="4" t="s">
        <v>35</v>
      </c>
      <c r="F363">
        <f>Definitions!G$7</f>
        <v>2.336333815415751E-4</v>
      </c>
      <c r="G363">
        <f>Definitions!G$20</f>
        <v>3.9061921448551362E-2</v>
      </c>
      <c r="H363">
        <f>Definitions!G$29</f>
        <v>8.557262120117759E-3</v>
      </c>
      <c r="I363" s="6">
        <f t="shared" si="60"/>
        <v>4.7852816950210694E-2</v>
      </c>
      <c r="J363" s="1">
        <f t="shared" ca="1" si="56"/>
        <v>5.2909897305453732</v>
      </c>
      <c r="K363" s="1">
        <f t="shared" ca="1" si="55"/>
        <v>0.25318876306123234</v>
      </c>
    </row>
    <row r="364" spans="2:11" x14ac:dyDescent="0.25">
      <c r="D364" s="4" t="s">
        <v>36</v>
      </c>
      <c r="F364">
        <f>Definitions!G$7</f>
        <v>2.336333815415751E-4</v>
      </c>
      <c r="G364">
        <f>Definitions!G$20</f>
        <v>3.9061921448551362E-2</v>
      </c>
      <c r="H364">
        <f>Definitions!G$30</f>
        <v>7.3226734992402288E-5</v>
      </c>
      <c r="I364" s="6">
        <f t="shared" si="60"/>
        <v>3.9368781565085338E-2</v>
      </c>
      <c r="J364" s="1">
        <f t="shared" ca="1" si="56"/>
        <v>3.0688587103877616</v>
      </c>
      <c r="K364" s="1">
        <f t="shared" ca="1" si="55"/>
        <v>0.12081722822336527</v>
      </c>
    </row>
    <row r="365" spans="2:11" x14ac:dyDescent="0.25">
      <c r="D365" s="4" t="s">
        <v>37</v>
      </c>
      <c r="F365">
        <f>Definitions!G$7</f>
        <v>2.336333815415751E-4</v>
      </c>
      <c r="G365">
        <f>Definitions!G$20</f>
        <v>3.9061921448551362E-2</v>
      </c>
      <c r="H365">
        <f>Definitions!G$31</f>
        <v>6.266203655303857E-7</v>
      </c>
      <c r="I365" s="6">
        <f t="shared" si="60"/>
        <v>3.9296181450458469E-2</v>
      </c>
      <c r="J365" s="1">
        <f t="shared" ca="1" si="56"/>
        <v>4.7107191922493943</v>
      </c>
      <c r="K365" s="1">
        <f t="shared" ca="1" si="55"/>
        <v>0.18511327614078935</v>
      </c>
    </row>
    <row r="366" spans="2:11" x14ac:dyDescent="0.25">
      <c r="D366" s="4" t="s">
        <v>38</v>
      </c>
      <c r="F366">
        <f>Definitions!G$7</f>
        <v>2.336333815415751E-4</v>
      </c>
      <c r="G366">
        <f>Definitions!G$20</f>
        <v>3.9061921448551362E-2</v>
      </c>
      <c r="H366">
        <f>Definitions!G$32</f>
        <v>8.557262120117759E-3</v>
      </c>
      <c r="I366" s="6">
        <f t="shared" si="58"/>
        <v>4.7852816950210694E-2</v>
      </c>
      <c r="J366" s="1">
        <f t="shared" ca="1" si="56"/>
        <v>3.0785920262629407</v>
      </c>
      <c r="K366" s="1">
        <f t="shared" ca="1" si="55"/>
        <v>0.14731930069713872</v>
      </c>
    </row>
    <row r="367" spans="2:11" x14ac:dyDescent="0.25">
      <c r="D367" s="4" t="s">
        <v>39</v>
      </c>
      <c r="F367">
        <f>Definitions!G$7</f>
        <v>2.336333815415751E-4</v>
      </c>
      <c r="G367">
        <f>Definitions!G$20</f>
        <v>3.9061921448551362E-2</v>
      </c>
      <c r="H367">
        <f>Definitions!G$33</f>
        <v>7.3226734992402288E-5</v>
      </c>
      <c r="I367" s="6">
        <f t="shared" si="58"/>
        <v>3.9368781565085338E-2</v>
      </c>
      <c r="J367" s="1">
        <f t="shared" ca="1" si="56"/>
        <v>7.6849928819679381</v>
      </c>
      <c r="K367" s="1">
        <f t="shared" ca="1" si="55"/>
        <v>0.30254880609943141</v>
      </c>
    </row>
    <row r="368" spans="2:11" x14ac:dyDescent="0.25">
      <c r="D368" s="4" t="s">
        <v>40</v>
      </c>
      <c r="F368">
        <f>Definitions!G$7</f>
        <v>2.336333815415751E-4</v>
      </c>
      <c r="G368">
        <f>Definitions!G$20</f>
        <v>3.9061921448551362E-2</v>
      </c>
      <c r="H368">
        <f>Definitions!G$34</f>
        <v>8.557262120117759E-3</v>
      </c>
      <c r="I368" s="6">
        <f t="shared" si="58"/>
        <v>4.7852816950210694E-2</v>
      </c>
      <c r="J368" s="1">
        <f t="shared" ca="1" si="56"/>
        <v>4.6672682054547501</v>
      </c>
      <c r="K368" s="1">
        <f t="shared" ca="1" si="55"/>
        <v>0.22334193109316453</v>
      </c>
    </row>
    <row r="369" spans="2:11" x14ac:dyDescent="0.25">
      <c r="B369" s="4" t="s">
        <v>22</v>
      </c>
      <c r="C369" s="4" t="s">
        <v>18</v>
      </c>
      <c r="D369" s="4" t="s">
        <v>19</v>
      </c>
      <c r="F369">
        <f>Definitions!G$8</f>
        <v>0.15133278303612252</v>
      </c>
      <c r="I369" s="6">
        <f t="shared" ref="I369" si="63">IF(1-(SUM(I370:I379))&lt;0,0,1-(SUM(I370:I379)))</f>
        <v>0</v>
      </c>
      <c r="J369" s="1">
        <f t="shared" ca="1" si="56"/>
        <v>1.799107360549705</v>
      </c>
      <c r="K369" s="1">
        <f t="shared" ca="1" si="55"/>
        <v>0</v>
      </c>
    </row>
    <row r="370" spans="2:11" x14ac:dyDescent="0.25">
      <c r="D370" s="4" t="s">
        <v>32</v>
      </c>
      <c r="F370">
        <f>Definitions!G$8</f>
        <v>0.15133278303612252</v>
      </c>
      <c r="H370">
        <f>Definitions!G$25</f>
        <v>8.557262120117759E-3</v>
      </c>
      <c r="I370" s="6">
        <f t="shared" si="60"/>
        <v>0.15989004515624028</v>
      </c>
      <c r="J370" s="1">
        <f t="shared" ca="1" si="56"/>
        <v>4.310511051017432</v>
      </c>
      <c r="K370" s="1">
        <f t="shared" ca="1" si="55"/>
        <v>0.68920780659365</v>
      </c>
    </row>
    <row r="371" spans="2:11" x14ac:dyDescent="0.25">
      <c r="D371" s="4" t="s">
        <v>25</v>
      </c>
      <c r="F371">
        <f>Definitions!G$8</f>
        <v>0.15133278303612252</v>
      </c>
      <c r="H371">
        <f>Definitions!G$26</f>
        <v>7.3226734992402288E-5</v>
      </c>
      <c r="I371" s="6">
        <f t="shared" si="60"/>
        <v>0.15140600977111493</v>
      </c>
      <c r="J371" s="1">
        <f t="shared" ca="1" si="56"/>
        <v>3.4965681745146053</v>
      </c>
      <c r="K371" s="1">
        <f t="shared" ca="1" si="55"/>
        <v>0.52940143519592786</v>
      </c>
    </row>
    <row r="372" spans="2:11" x14ac:dyDescent="0.25">
      <c r="D372" s="4" t="s">
        <v>33</v>
      </c>
      <c r="F372">
        <f>Definitions!G$8</f>
        <v>0.15133278303612252</v>
      </c>
      <c r="H372">
        <f>Definitions!G$27</f>
        <v>6.266203655303857E-7</v>
      </c>
      <c r="I372" s="6">
        <f t="shared" si="60"/>
        <v>0.15133340965648806</v>
      </c>
      <c r="J372" s="1">
        <f t="shared" ca="1" si="56"/>
        <v>7.5415317006070586</v>
      </c>
      <c r="K372" s="1">
        <f t="shared" ca="1" si="55"/>
        <v>1.141285706285359</v>
      </c>
    </row>
    <row r="373" spans="2:11" x14ac:dyDescent="0.25">
      <c r="D373" s="4" t="s">
        <v>34</v>
      </c>
      <c r="F373">
        <f>Definitions!G$8</f>
        <v>0.15133278303612252</v>
      </c>
      <c r="H373">
        <f>Definitions!G$28</f>
        <v>5.3621547176475137E-9</v>
      </c>
      <c r="I373" s="6">
        <f t="shared" si="60"/>
        <v>0.15133278839827724</v>
      </c>
      <c r="J373" s="1">
        <f t="shared" ca="1" si="56"/>
        <v>3.842630084244854</v>
      </c>
      <c r="K373" s="1">
        <f t="shared" ca="1" si="55"/>
        <v>0.58151592543188069</v>
      </c>
    </row>
    <row r="374" spans="2:11" x14ac:dyDescent="0.25">
      <c r="D374" s="4" t="s">
        <v>35</v>
      </c>
      <c r="F374">
        <f>Definitions!G$8</f>
        <v>0.15133278303612252</v>
      </c>
      <c r="H374">
        <f>Definitions!G$29</f>
        <v>8.557262120117759E-3</v>
      </c>
      <c r="I374" s="6">
        <f t="shared" si="60"/>
        <v>0.15989004515624028</v>
      </c>
      <c r="J374" s="1">
        <f t="shared" ca="1" si="56"/>
        <v>3.105795119712587</v>
      </c>
      <c r="K374" s="1">
        <f t="shared" ca="1" si="55"/>
        <v>0.49658572193687622</v>
      </c>
    </row>
    <row r="375" spans="2:11" x14ac:dyDescent="0.25">
      <c r="D375" s="4" t="s">
        <v>36</v>
      </c>
      <c r="F375">
        <f>Definitions!G$8</f>
        <v>0.15133278303612252</v>
      </c>
      <c r="H375">
        <f>Definitions!G$30</f>
        <v>7.3226734992402288E-5</v>
      </c>
      <c r="I375" s="6">
        <f t="shared" si="60"/>
        <v>0.15140600977111493</v>
      </c>
      <c r="J375" s="1">
        <f t="shared" ca="1" si="56"/>
        <v>4.5176828338839581</v>
      </c>
      <c r="K375" s="1">
        <f t="shared" ca="1" si="55"/>
        <v>0.68400433128983273</v>
      </c>
    </row>
    <row r="376" spans="2:11" x14ac:dyDescent="0.25">
      <c r="D376" s="4" t="s">
        <v>37</v>
      </c>
      <c r="F376">
        <f>Definitions!G$8</f>
        <v>0.15133278303612252</v>
      </c>
      <c r="H376">
        <f>Definitions!G$31</f>
        <v>6.266203655303857E-7</v>
      </c>
      <c r="I376" s="6">
        <f t="shared" si="60"/>
        <v>0.15133340965648806</v>
      </c>
      <c r="J376" s="1">
        <f t="shared" ca="1" si="56"/>
        <v>9.2377743218587032</v>
      </c>
      <c r="K376" s="1">
        <f t="shared" ca="1" si="55"/>
        <v>1.3979838857640292</v>
      </c>
    </row>
    <row r="377" spans="2:11" x14ac:dyDescent="0.25">
      <c r="D377" s="4" t="s">
        <v>38</v>
      </c>
      <c r="F377">
        <f>Definitions!G$8</f>
        <v>0.15133278303612252</v>
      </c>
      <c r="H377">
        <f>Definitions!G$32</f>
        <v>8.557262120117759E-3</v>
      </c>
      <c r="I377" s="6">
        <f t="shared" si="58"/>
        <v>0.15989004515624028</v>
      </c>
      <c r="J377" s="1">
        <f t="shared" ca="1" si="56"/>
        <v>1.3079900539143985</v>
      </c>
      <c r="K377" s="1">
        <f t="shared" ca="1" si="55"/>
        <v>0.20913458878428634</v>
      </c>
    </row>
    <row r="378" spans="2:11" x14ac:dyDescent="0.25">
      <c r="D378" s="4" t="s">
        <v>39</v>
      </c>
      <c r="F378">
        <f>Definitions!G$8</f>
        <v>0.15133278303612252</v>
      </c>
      <c r="H378">
        <f>Definitions!G$33</f>
        <v>7.3226734992402288E-5</v>
      </c>
      <c r="I378" s="6">
        <f t="shared" si="58"/>
        <v>0.15140600977111493</v>
      </c>
      <c r="J378" s="1">
        <f t="shared" ca="1" si="56"/>
        <v>5.1686317828007589</v>
      </c>
      <c r="K378" s="1">
        <f t="shared" ca="1" si="55"/>
        <v>0.78256191421002685</v>
      </c>
    </row>
    <row r="379" spans="2:11" x14ac:dyDescent="0.25">
      <c r="D379" s="4" t="s">
        <v>40</v>
      </c>
      <c r="F379">
        <f>Definitions!G$8</f>
        <v>0.15133278303612252</v>
      </c>
      <c r="H379">
        <f>Definitions!G$34</f>
        <v>8.557262120117759E-3</v>
      </c>
      <c r="I379" s="6">
        <f t="shared" si="58"/>
        <v>0.15989004515624028</v>
      </c>
      <c r="J379" s="1">
        <f t="shared" ca="1" si="56"/>
        <v>4.2831173391903636</v>
      </c>
      <c r="K379" s="1">
        <f t="shared" ca="1" si="55"/>
        <v>0.68482782477262294</v>
      </c>
    </row>
    <row r="380" spans="2:11" x14ac:dyDescent="0.25">
      <c r="B380" s="4"/>
      <c r="C380" s="4" t="s">
        <v>26</v>
      </c>
      <c r="D380" s="4" t="s">
        <v>19</v>
      </c>
      <c r="F380">
        <f>Definitions!G$8</f>
        <v>0.15133278303612252</v>
      </c>
      <c r="G380">
        <f>Definitions!G$15</f>
        <v>0.14734469250135696</v>
      </c>
      <c r="I380" s="6">
        <f t="shared" ref="I380" si="64">IF(1-(SUM(I381:I390))&lt;0,0,1-(SUM(I381:I390)))</f>
        <v>0</v>
      </c>
      <c r="J380" s="1">
        <f t="shared" ca="1" si="56"/>
        <v>3.1992054581455251</v>
      </c>
      <c r="K380" s="1">
        <f t="shared" ca="1" si="55"/>
        <v>0</v>
      </c>
    </row>
    <row r="381" spans="2:11" x14ac:dyDescent="0.25">
      <c r="D381" s="4" t="s">
        <v>32</v>
      </c>
      <c r="F381">
        <f>Definitions!G$8</f>
        <v>0.15133278303612252</v>
      </c>
      <c r="G381">
        <f>Definitions!G$15</f>
        <v>0.14734469250135696</v>
      </c>
      <c r="H381">
        <f>Definitions!G$25</f>
        <v>8.557262120117759E-3</v>
      </c>
      <c r="I381" s="6">
        <f t="shared" si="60"/>
        <v>0.30723473765759723</v>
      </c>
      <c r="J381" s="1">
        <f t="shared" ca="1" si="56"/>
        <v>4.4162891178813402</v>
      </c>
      <c r="K381" s="1">
        <f t="shared" ca="1" si="55"/>
        <v>1.356837428552375</v>
      </c>
    </row>
    <row r="382" spans="2:11" x14ac:dyDescent="0.25">
      <c r="D382" s="4" t="s">
        <v>25</v>
      </c>
      <c r="F382">
        <f>Definitions!G$8</f>
        <v>0.15133278303612252</v>
      </c>
      <c r="G382">
        <f>Definitions!G$15</f>
        <v>0.14734469250135696</v>
      </c>
      <c r="H382">
        <f>Definitions!G$26</f>
        <v>7.3226734992402288E-5</v>
      </c>
      <c r="I382" s="6">
        <f t="shared" si="60"/>
        <v>0.29875070227247186</v>
      </c>
      <c r="J382" s="1">
        <f t="shared" ca="1" si="56"/>
        <v>4.2069526430557485</v>
      </c>
      <c r="K382" s="1">
        <f t="shared" ref="K382:K445" ca="1" si="65">I382*J382</f>
        <v>1.2568300565399364</v>
      </c>
    </row>
    <row r="383" spans="2:11" x14ac:dyDescent="0.25">
      <c r="D383" s="4" t="s">
        <v>33</v>
      </c>
      <c r="F383">
        <f>Definitions!G$8</f>
        <v>0.15133278303612252</v>
      </c>
      <c r="G383">
        <f>Definitions!G$15</f>
        <v>0.14734469250135696</v>
      </c>
      <c r="H383">
        <f>Definitions!G$27</f>
        <v>6.266203655303857E-7</v>
      </c>
      <c r="I383" s="6">
        <f t="shared" si="60"/>
        <v>0.29867810215784502</v>
      </c>
      <c r="J383" s="1">
        <f t="shared" ref="J383:J446" ca="1" si="66">_xlfn.NORM.INV(RAND(),4,2)</f>
        <v>4.3288567380084064</v>
      </c>
      <c r="K383" s="1">
        <f t="shared" ca="1" si="65"/>
        <v>1.2929347150215504</v>
      </c>
    </row>
    <row r="384" spans="2:11" x14ac:dyDescent="0.25">
      <c r="D384" s="4" t="s">
        <v>34</v>
      </c>
      <c r="F384">
        <f>Definitions!G$8</f>
        <v>0.15133278303612252</v>
      </c>
      <c r="G384">
        <f>Definitions!G$15</f>
        <v>0.14734469250135696</v>
      </c>
      <c r="H384">
        <f>Definitions!G$28</f>
        <v>5.3621547176475137E-9</v>
      </c>
      <c r="I384" s="6">
        <f t="shared" si="60"/>
        <v>0.2986774808996342</v>
      </c>
      <c r="J384" s="1">
        <f t="shared" ca="1" si="66"/>
        <v>2.2813846567935148</v>
      </c>
      <c r="K384" s="1">
        <f t="shared" ca="1" si="65"/>
        <v>0.68139822225416347</v>
      </c>
    </row>
    <row r="385" spans="2:11" x14ac:dyDescent="0.25">
      <c r="D385" s="4" t="s">
        <v>35</v>
      </c>
      <c r="F385">
        <f>Definitions!G$8</f>
        <v>0.15133278303612252</v>
      </c>
      <c r="G385">
        <f>Definitions!G$15</f>
        <v>0.14734469250135696</v>
      </c>
      <c r="H385">
        <f>Definitions!G$29</f>
        <v>8.557262120117759E-3</v>
      </c>
      <c r="I385" s="6">
        <f t="shared" si="60"/>
        <v>0.30723473765759723</v>
      </c>
      <c r="J385" s="1">
        <f t="shared" ca="1" si="66"/>
        <v>1.4316547803115611</v>
      </c>
      <c r="K385" s="1">
        <f t="shared" ca="1" si="65"/>
        <v>0.4398540808452675</v>
      </c>
    </row>
    <row r="386" spans="2:11" x14ac:dyDescent="0.25">
      <c r="D386" s="4" t="s">
        <v>36</v>
      </c>
      <c r="F386">
        <f>Definitions!G$8</f>
        <v>0.15133278303612252</v>
      </c>
      <c r="G386">
        <f>Definitions!G$15</f>
        <v>0.14734469250135696</v>
      </c>
      <c r="H386">
        <f>Definitions!G$30</f>
        <v>7.3226734992402288E-5</v>
      </c>
      <c r="I386" s="6">
        <f t="shared" si="60"/>
        <v>0.29875070227247186</v>
      </c>
      <c r="J386" s="1">
        <f t="shared" ca="1" si="66"/>
        <v>2.8782412696243105</v>
      </c>
      <c r="K386" s="1">
        <f t="shared" ca="1" si="65"/>
        <v>0.85987660060987381</v>
      </c>
    </row>
    <row r="387" spans="2:11" x14ac:dyDescent="0.25">
      <c r="D387" s="4" t="s">
        <v>37</v>
      </c>
      <c r="F387">
        <f>Definitions!G$8</f>
        <v>0.15133278303612252</v>
      </c>
      <c r="G387">
        <f>Definitions!G$15</f>
        <v>0.14734469250135696</v>
      </c>
      <c r="H387">
        <f>Definitions!G$31</f>
        <v>6.266203655303857E-7</v>
      </c>
      <c r="I387" s="6">
        <f t="shared" si="60"/>
        <v>0.29867810215784502</v>
      </c>
      <c r="J387" s="1">
        <f t="shared" ca="1" si="66"/>
        <v>7.6937856749524718</v>
      </c>
      <c r="K387" s="1">
        <f t="shared" ca="1" si="65"/>
        <v>2.2979653038040189</v>
      </c>
    </row>
    <row r="388" spans="2:11" x14ac:dyDescent="0.25">
      <c r="D388" s="4" t="s">
        <v>38</v>
      </c>
      <c r="F388">
        <f>Definitions!G$8</f>
        <v>0.15133278303612252</v>
      </c>
      <c r="G388">
        <f>Definitions!G$15</f>
        <v>0.14734469250135696</v>
      </c>
      <c r="H388">
        <f>Definitions!G$32</f>
        <v>8.557262120117759E-3</v>
      </c>
      <c r="I388" s="6">
        <f t="shared" si="58"/>
        <v>0.30723473765759723</v>
      </c>
      <c r="J388" s="1">
        <f t="shared" ca="1" si="66"/>
        <v>3.437452122727179</v>
      </c>
      <c r="K388" s="1">
        <f t="shared" ca="1" si="65"/>
        <v>1.0561047011366356</v>
      </c>
    </row>
    <row r="389" spans="2:11" x14ac:dyDescent="0.25">
      <c r="D389" s="4" t="s">
        <v>39</v>
      </c>
      <c r="F389">
        <f>Definitions!G$8</f>
        <v>0.15133278303612252</v>
      </c>
      <c r="G389">
        <f>Definitions!G$15</f>
        <v>0.14734469250135696</v>
      </c>
      <c r="H389">
        <f>Definitions!G$33</f>
        <v>7.3226734992402288E-5</v>
      </c>
      <c r="I389" s="6">
        <f t="shared" si="58"/>
        <v>0.29875070227247186</v>
      </c>
      <c r="J389" s="1">
        <f t="shared" ca="1" si="66"/>
        <v>6.4403964550972557</v>
      </c>
      <c r="K389" s="1">
        <f t="shared" ca="1" si="65"/>
        <v>1.9240729638734433</v>
      </c>
    </row>
    <row r="390" spans="2:11" x14ac:dyDescent="0.25">
      <c r="D390" s="4" t="s">
        <v>40</v>
      </c>
      <c r="F390">
        <f>Definitions!G$8</f>
        <v>0.15133278303612252</v>
      </c>
      <c r="G390">
        <f>Definitions!G$15</f>
        <v>0.14734469250135696</v>
      </c>
      <c r="H390">
        <f>Definitions!G$34</f>
        <v>8.557262120117759E-3</v>
      </c>
      <c r="I390" s="6">
        <f t="shared" si="58"/>
        <v>0.30723473765759723</v>
      </c>
      <c r="J390" s="1">
        <f t="shared" ca="1" si="66"/>
        <v>3.6065759570407838</v>
      </c>
      <c r="K390" s="1">
        <f t="shared" ca="1" si="65"/>
        <v>1.1080654180036229</v>
      </c>
    </row>
    <row r="391" spans="2:11" x14ac:dyDescent="0.25">
      <c r="B391" s="4"/>
      <c r="C391" s="4" t="s">
        <v>27</v>
      </c>
      <c r="D391" s="4" t="s">
        <v>19</v>
      </c>
      <c r="F391">
        <f>Definitions!G$8</f>
        <v>0.15133278303612252</v>
      </c>
      <c r="G391">
        <f>Definitions!G$16</f>
        <v>2.1710458408319436E-2</v>
      </c>
      <c r="I391" s="6">
        <f t="shared" ref="I391" si="67">IF(1-(SUM(I392:I401))&lt;0,0,1-(SUM(I392:I401)))</f>
        <v>0</v>
      </c>
      <c r="J391" s="1">
        <f t="shared" ca="1" si="66"/>
        <v>4.4434533929798423</v>
      </c>
      <c r="K391" s="1">
        <f t="shared" ca="1" si="65"/>
        <v>0</v>
      </c>
    </row>
    <row r="392" spans="2:11" x14ac:dyDescent="0.25">
      <c r="D392" s="4" t="s">
        <v>32</v>
      </c>
      <c r="F392">
        <f>Definitions!G$8</f>
        <v>0.15133278303612252</v>
      </c>
      <c r="G392">
        <f>Definitions!G$16</f>
        <v>2.1710458408319436E-2</v>
      </c>
      <c r="H392">
        <f>Definitions!G$25</f>
        <v>8.557262120117759E-3</v>
      </c>
      <c r="I392" s="6">
        <f t="shared" si="60"/>
        <v>0.1816005035645597</v>
      </c>
      <c r="J392" s="1">
        <f t="shared" ca="1" si="66"/>
        <v>7.3448240122404957</v>
      </c>
      <c r="K392" s="1">
        <f t="shared" ca="1" si="65"/>
        <v>1.3338237392159438</v>
      </c>
    </row>
    <row r="393" spans="2:11" x14ac:dyDescent="0.25">
      <c r="D393" s="4" t="s">
        <v>25</v>
      </c>
      <c r="F393">
        <f>Definitions!G$8</f>
        <v>0.15133278303612252</v>
      </c>
      <c r="G393">
        <f>Definitions!G$16</f>
        <v>2.1710458408319436E-2</v>
      </c>
      <c r="H393">
        <f>Definitions!G$26</f>
        <v>7.3226734992402288E-5</v>
      </c>
      <c r="I393" s="6">
        <f t="shared" si="60"/>
        <v>0.17311646817943435</v>
      </c>
      <c r="J393" s="1">
        <f t="shared" ca="1" si="66"/>
        <v>3.7144987861794485</v>
      </c>
      <c r="K393" s="1">
        <f t="shared" ca="1" si="65"/>
        <v>0.64304091092018201</v>
      </c>
    </row>
    <row r="394" spans="2:11" x14ac:dyDescent="0.25">
      <c r="D394" s="4" t="s">
        <v>33</v>
      </c>
      <c r="F394">
        <f>Definitions!G$8</f>
        <v>0.15133278303612252</v>
      </c>
      <c r="G394">
        <f>Definitions!G$16</f>
        <v>2.1710458408319436E-2</v>
      </c>
      <c r="H394">
        <f>Definitions!G$27</f>
        <v>6.266203655303857E-7</v>
      </c>
      <c r="I394" s="6">
        <f t="shared" si="60"/>
        <v>0.17304386806480748</v>
      </c>
      <c r="J394" s="1">
        <f t="shared" ca="1" si="66"/>
        <v>4.7527911472031352</v>
      </c>
      <c r="K394" s="1">
        <f t="shared" ca="1" si="65"/>
        <v>0.82244136421620428</v>
      </c>
    </row>
    <row r="395" spans="2:11" x14ac:dyDescent="0.25">
      <c r="D395" s="4" t="s">
        <v>34</v>
      </c>
      <c r="F395">
        <f>Definitions!G$8</f>
        <v>0.15133278303612252</v>
      </c>
      <c r="G395">
        <f>Definitions!G$16</f>
        <v>2.1710458408319436E-2</v>
      </c>
      <c r="H395">
        <f>Definitions!G$28</f>
        <v>5.3621547176475137E-9</v>
      </c>
      <c r="I395" s="6">
        <f t="shared" si="60"/>
        <v>0.17304324680659666</v>
      </c>
      <c r="J395" s="1">
        <f t="shared" ca="1" si="66"/>
        <v>2.8571993467462438</v>
      </c>
      <c r="K395" s="1">
        <f t="shared" ca="1" si="65"/>
        <v>0.494419051734657</v>
      </c>
    </row>
    <row r="396" spans="2:11" x14ac:dyDescent="0.25">
      <c r="D396" s="4" t="s">
        <v>35</v>
      </c>
      <c r="F396">
        <f>Definitions!G$8</f>
        <v>0.15133278303612252</v>
      </c>
      <c r="G396">
        <f>Definitions!G$16</f>
        <v>2.1710458408319436E-2</v>
      </c>
      <c r="H396">
        <f>Definitions!G$29</f>
        <v>8.557262120117759E-3</v>
      </c>
      <c r="I396" s="6">
        <f t="shared" si="60"/>
        <v>0.1816005035645597</v>
      </c>
      <c r="J396" s="1">
        <f t="shared" ca="1" si="66"/>
        <v>5.141348671452084</v>
      </c>
      <c r="K396" s="1">
        <f t="shared" ca="1" si="65"/>
        <v>0.93367150773667851</v>
      </c>
    </row>
    <row r="397" spans="2:11" x14ac:dyDescent="0.25">
      <c r="D397" s="4" t="s">
        <v>36</v>
      </c>
      <c r="F397">
        <f>Definitions!G$8</f>
        <v>0.15133278303612252</v>
      </c>
      <c r="G397">
        <f>Definitions!G$16</f>
        <v>2.1710458408319436E-2</v>
      </c>
      <c r="H397">
        <f>Definitions!G$30</f>
        <v>7.3226734992402288E-5</v>
      </c>
      <c r="I397" s="6">
        <f t="shared" si="60"/>
        <v>0.17311646817943435</v>
      </c>
      <c r="J397" s="1">
        <f t="shared" ca="1" si="66"/>
        <v>3.782387864743074</v>
      </c>
      <c r="K397" s="1">
        <f t="shared" ca="1" si="65"/>
        <v>0.65479362842907296</v>
      </c>
    </row>
    <row r="398" spans="2:11" x14ac:dyDescent="0.25">
      <c r="D398" s="4" t="s">
        <v>37</v>
      </c>
      <c r="F398">
        <f>Definitions!G$8</f>
        <v>0.15133278303612252</v>
      </c>
      <c r="G398">
        <f>Definitions!G$16</f>
        <v>2.1710458408319436E-2</v>
      </c>
      <c r="H398">
        <f>Definitions!G$31</f>
        <v>6.266203655303857E-7</v>
      </c>
      <c r="I398" s="6">
        <f t="shared" si="60"/>
        <v>0.17304386806480748</v>
      </c>
      <c r="J398" s="1">
        <f t="shared" ca="1" si="66"/>
        <v>5.4732611860285587</v>
      </c>
      <c r="K398" s="1">
        <f t="shared" ca="1" si="65"/>
        <v>0.94711428655935759</v>
      </c>
    </row>
    <row r="399" spans="2:11" x14ac:dyDescent="0.25">
      <c r="D399" s="4" t="s">
        <v>38</v>
      </c>
      <c r="F399">
        <f>Definitions!G$8</f>
        <v>0.15133278303612252</v>
      </c>
      <c r="G399">
        <f>Definitions!G$16</f>
        <v>2.1710458408319436E-2</v>
      </c>
      <c r="H399">
        <f>Definitions!G$32</f>
        <v>8.557262120117759E-3</v>
      </c>
      <c r="I399" s="6">
        <f t="shared" si="60"/>
        <v>0.1816005035645597</v>
      </c>
      <c r="J399" s="1">
        <f t="shared" ca="1" si="66"/>
        <v>6.0611838202644366</v>
      </c>
      <c r="K399" s="1">
        <f t="shared" ca="1" si="65"/>
        <v>1.1007140339573833</v>
      </c>
    </row>
    <row r="400" spans="2:11" x14ac:dyDescent="0.25">
      <c r="D400" s="4" t="s">
        <v>39</v>
      </c>
      <c r="F400">
        <f>Definitions!G$8</f>
        <v>0.15133278303612252</v>
      </c>
      <c r="G400">
        <f>Definitions!G$16</f>
        <v>2.1710458408319436E-2</v>
      </c>
      <c r="H400">
        <f>Definitions!G$33</f>
        <v>7.3226734992402288E-5</v>
      </c>
      <c r="I400" s="6">
        <f t="shared" si="60"/>
        <v>0.17311646817943435</v>
      </c>
      <c r="J400" s="1">
        <f t="shared" ca="1" si="66"/>
        <v>6.7531032127528068</v>
      </c>
      <c r="K400" s="1">
        <f t="shared" ca="1" si="65"/>
        <v>1.1690733774429571</v>
      </c>
    </row>
    <row r="401" spans="2:11" x14ac:dyDescent="0.25">
      <c r="D401" s="4" t="s">
        <v>40</v>
      </c>
      <c r="F401">
        <f>Definitions!G$8</f>
        <v>0.15133278303612252</v>
      </c>
      <c r="G401">
        <f>Definitions!G$16</f>
        <v>2.1710458408319436E-2</v>
      </c>
      <c r="H401">
        <f>Definitions!G$34</f>
        <v>8.557262120117759E-3</v>
      </c>
      <c r="I401" s="6">
        <f t="shared" ref="I401:I456" si="68">SUM(F401+G401+H401)</f>
        <v>0.1816005035645597</v>
      </c>
      <c r="J401" s="1">
        <f t="shared" ca="1" si="66"/>
        <v>5.3648644802193601</v>
      </c>
      <c r="K401" s="1">
        <f t="shared" ca="1" si="65"/>
        <v>0.97426209116345563</v>
      </c>
    </row>
    <row r="402" spans="2:11" x14ac:dyDescent="0.25">
      <c r="B402" s="4"/>
      <c r="C402" s="4" t="s">
        <v>28</v>
      </c>
      <c r="D402" s="4" t="s">
        <v>19</v>
      </c>
      <c r="F402">
        <f>Definitions!G$8</f>
        <v>0.15133278303612252</v>
      </c>
      <c r="G402">
        <f>Definitions!G$17</f>
        <v>8.4805222095781527E-4</v>
      </c>
      <c r="I402" s="6">
        <f t="shared" ref="I402" si="69">IF(1-(SUM(I403:I412))&lt;0,0,1-(SUM(I403:I412)))</f>
        <v>0</v>
      </c>
      <c r="J402" s="1">
        <f t="shared" ca="1" si="66"/>
        <v>4.4361013204216189</v>
      </c>
      <c r="K402" s="1">
        <f t="shared" ca="1" si="65"/>
        <v>0</v>
      </c>
    </row>
    <row r="403" spans="2:11" x14ac:dyDescent="0.25">
      <c r="D403" s="4" t="s">
        <v>32</v>
      </c>
      <c r="F403">
        <f>Definitions!G$8</f>
        <v>0.15133278303612252</v>
      </c>
      <c r="G403">
        <f>Definitions!G$17</f>
        <v>8.4805222095781527E-4</v>
      </c>
      <c r="H403">
        <f>Definitions!G$25</f>
        <v>8.557262120117759E-3</v>
      </c>
      <c r="I403" s="6">
        <f t="shared" ref="I403:I466" si="70">SUM(F403+G403+H403)</f>
        <v>0.1607380973771981</v>
      </c>
      <c r="J403" s="1">
        <f t="shared" ca="1" si="66"/>
        <v>5.039839681791749</v>
      </c>
      <c r="K403" s="1">
        <f t="shared" ca="1" si="65"/>
        <v>0.81009424153730925</v>
      </c>
    </row>
    <row r="404" spans="2:11" x14ac:dyDescent="0.25">
      <c r="D404" s="4" t="s">
        <v>25</v>
      </c>
      <c r="F404">
        <f>Definitions!G$8</f>
        <v>0.15133278303612252</v>
      </c>
      <c r="G404">
        <f>Definitions!G$17</f>
        <v>8.4805222095781527E-4</v>
      </c>
      <c r="H404">
        <f>Definitions!G$26</f>
        <v>7.3226734992402288E-5</v>
      </c>
      <c r="I404" s="6">
        <f t="shared" si="70"/>
        <v>0.15225406199207275</v>
      </c>
      <c r="J404" s="1">
        <f t="shared" ca="1" si="66"/>
        <v>3.6959457205937136</v>
      </c>
      <c r="K404" s="1">
        <f t="shared" ca="1" si="65"/>
        <v>0.56272274886261131</v>
      </c>
    </row>
    <row r="405" spans="2:11" x14ac:dyDescent="0.25">
      <c r="D405" s="4" t="s">
        <v>33</v>
      </c>
      <c r="F405">
        <f>Definitions!G$8</f>
        <v>0.15133278303612252</v>
      </c>
      <c r="G405">
        <f>Definitions!G$17</f>
        <v>8.4805222095781527E-4</v>
      </c>
      <c r="H405">
        <f>Definitions!G$27</f>
        <v>6.266203655303857E-7</v>
      </c>
      <c r="I405" s="6">
        <f t="shared" si="70"/>
        <v>0.15218146187744588</v>
      </c>
      <c r="J405" s="1">
        <f t="shared" ca="1" si="66"/>
        <v>4.3020609858224512</v>
      </c>
      <c r="K405" s="1">
        <f t="shared" ca="1" si="65"/>
        <v>0.6546939299083866</v>
      </c>
    </row>
    <row r="406" spans="2:11" x14ac:dyDescent="0.25">
      <c r="D406" s="4" t="s">
        <v>34</v>
      </c>
      <c r="F406">
        <f>Definitions!G$8</f>
        <v>0.15133278303612252</v>
      </c>
      <c r="G406">
        <f>Definitions!G$17</f>
        <v>8.4805222095781527E-4</v>
      </c>
      <c r="H406">
        <f>Definitions!G$28</f>
        <v>5.3621547176475137E-9</v>
      </c>
      <c r="I406" s="6">
        <f t="shared" si="70"/>
        <v>0.15218084061923506</v>
      </c>
      <c r="J406" s="1">
        <f t="shared" ca="1" si="66"/>
        <v>2.3984871727220494</v>
      </c>
      <c r="K406" s="1">
        <f t="shared" ca="1" si="65"/>
        <v>0.3650037941592939</v>
      </c>
    </row>
    <row r="407" spans="2:11" x14ac:dyDescent="0.25">
      <c r="D407" s="4" t="s">
        <v>35</v>
      </c>
      <c r="F407">
        <f>Definitions!G$8</f>
        <v>0.15133278303612252</v>
      </c>
      <c r="G407">
        <f>Definitions!G$17</f>
        <v>8.4805222095781527E-4</v>
      </c>
      <c r="H407">
        <f>Definitions!G$29</f>
        <v>8.557262120117759E-3</v>
      </c>
      <c r="I407" s="6">
        <f t="shared" si="70"/>
        <v>0.1607380973771981</v>
      </c>
      <c r="J407" s="1">
        <f t="shared" ca="1" si="66"/>
        <v>3.5269922879776456</v>
      </c>
      <c r="K407" s="1">
        <f t="shared" ca="1" si="65"/>
        <v>0.56692202983357753</v>
      </c>
    </row>
    <row r="408" spans="2:11" x14ac:dyDescent="0.25">
      <c r="D408" s="4" t="s">
        <v>36</v>
      </c>
      <c r="F408">
        <f>Definitions!G$8</f>
        <v>0.15133278303612252</v>
      </c>
      <c r="G408">
        <f>Definitions!G$17</f>
        <v>8.4805222095781527E-4</v>
      </c>
      <c r="H408">
        <f>Definitions!G$30</f>
        <v>7.3226734992402288E-5</v>
      </c>
      <c r="I408" s="6">
        <f t="shared" si="70"/>
        <v>0.15225406199207275</v>
      </c>
      <c r="J408" s="1">
        <f t="shared" ca="1" si="66"/>
        <v>2.9504692715854137</v>
      </c>
      <c r="K408" s="1">
        <f t="shared" ca="1" si="65"/>
        <v>0.4492209313816713</v>
      </c>
    </row>
    <row r="409" spans="2:11" x14ac:dyDescent="0.25">
      <c r="D409" s="4" t="s">
        <v>37</v>
      </c>
      <c r="F409">
        <f>Definitions!G$8</f>
        <v>0.15133278303612252</v>
      </c>
      <c r="G409">
        <f>Definitions!G$17</f>
        <v>8.4805222095781527E-4</v>
      </c>
      <c r="H409">
        <f>Definitions!G$31</f>
        <v>6.266203655303857E-7</v>
      </c>
      <c r="I409" s="6">
        <f t="shared" si="70"/>
        <v>0.15218146187744588</v>
      </c>
      <c r="J409" s="1">
        <f t="shared" ca="1" si="66"/>
        <v>7.0663773591222396</v>
      </c>
      <c r="K409" s="1">
        <f t="shared" ca="1" si="65"/>
        <v>1.0753716366889079</v>
      </c>
    </row>
    <row r="410" spans="2:11" x14ac:dyDescent="0.25">
      <c r="D410" s="4" t="s">
        <v>38</v>
      </c>
      <c r="F410">
        <f>Definitions!G$8</f>
        <v>0.15133278303612252</v>
      </c>
      <c r="G410">
        <f>Definitions!G$17</f>
        <v>8.4805222095781527E-4</v>
      </c>
      <c r="H410">
        <f>Definitions!G$32</f>
        <v>8.557262120117759E-3</v>
      </c>
      <c r="I410" s="6">
        <f t="shared" si="68"/>
        <v>0.1607380973771981</v>
      </c>
      <c r="J410" s="1">
        <f t="shared" ca="1" si="66"/>
        <v>2.6218712857764004</v>
      </c>
      <c r="K410" s="1">
        <f t="shared" ca="1" si="65"/>
        <v>0.42143460204360667</v>
      </c>
    </row>
    <row r="411" spans="2:11" x14ac:dyDescent="0.25">
      <c r="D411" s="4" t="s">
        <v>39</v>
      </c>
      <c r="F411">
        <f>Definitions!G$8</f>
        <v>0.15133278303612252</v>
      </c>
      <c r="G411">
        <f>Definitions!G$17</f>
        <v>8.4805222095781527E-4</v>
      </c>
      <c r="H411">
        <f>Definitions!G$33</f>
        <v>7.3226734992402288E-5</v>
      </c>
      <c r="I411" s="6">
        <f t="shared" si="68"/>
        <v>0.15225406199207275</v>
      </c>
      <c r="J411" s="1">
        <f t="shared" ca="1" si="66"/>
        <v>3.9539983222656678</v>
      </c>
      <c r="K411" s="1">
        <f t="shared" ca="1" si="65"/>
        <v>0.60201230567478869</v>
      </c>
    </row>
    <row r="412" spans="2:11" x14ac:dyDescent="0.25">
      <c r="D412" s="4" t="s">
        <v>40</v>
      </c>
      <c r="F412">
        <f>Definitions!G$8</f>
        <v>0.15133278303612252</v>
      </c>
      <c r="G412">
        <f>Definitions!G$17</f>
        <v>8.4805222095781527E-4</v>
      </c>
      <c r="H412">
        <f>Definitions!G$34</f>
        <v>8.557262120117759E-3</v>
      </c>
      <c r="I412" s="6">
        <f t="shared" si="68"/>
        <v>0.1607380973771981</v>
      </c>
      <c r="J412" s="1">
        <f t="shared" ca="1" si="66"/>
        <v>4.2667771525967382</v>
      </c>
      <c r="K412" s="1">
        <f t="shared" ca="1" si="65"/>
        <v>0.68583364144089853</v>
      </c>
    </row>
    <row r="413" spans="2:11" x14ac:dyDescent="0.25">
      <c r="B413" s="4"/>
      <c r="C413" s="4" t="s">
        <v>29</v>
      </c>
      <c r="D413" s="4" t="s">
        <v>19</v>
      </c>
      <c r="F413">
        <f>Definitions!G$8</f>
        <v>0.15133278303612252</v>
      </c>
      <c r="G413">
        <f>Definitions!G$18</f>
        <v>0.14734469250135696</v>
      </c>
      <c r="I413" s="6">
        <f t="shared" ref="I413" si="71">IF(1-(SUM(I414:I423))&lt;0,0,1-(SUM(I414:I423)))</f>
        <v>0</v>
      </c>
      <c r="J413" s="1">
        <f t="shared" ca="1" si="66"/>
        <v>5.6338160828767423</v>
      </c>
      <c r="K413" s="1">
        <f t="shared" ca="1" si="65"/>
        <v>0</v>
      </c>
    </row>
    <row r="414" spans="2:11" x14ac:dyDescent="0.25">
      <c r="D414" s="4" t="s">
        <v>32</v>
      </c>
      <c r="F414">
        <f>Definitions!G$8</f>
        <v>0.15133278303612252</v>
      </c>
      <c r="G414">
        <f>Definitions!G$18</f>
        <v>0.14734469250135696</v>
      </c>
      <c r="H414">
        <f>Definitions!G$25</f>
        <v>8.557262120117759E-3</v>
      </c>
      <c r="I414" s="6">
        <f t="shared" si="70"/>
        <v>0.30723473765759723</v>
      </c>
      <c r="J414" s="1">
        <f t="shared" ca="1" si="66"/>
        <v>4.8519296693562026</v>
      </c>
      <c r="K414" s="1">
        <f t="shared" ca="1" si="65"/>
        <v>1.4906813390977653</v>
      </c>
    </row>
    <row r="415" spans="2:11" x14ac:dyDescent="0.25">
      <c r="D415" s="4" t="s">
        <v>25</v>
      </c>
      <c r="F415">
        <f>Definitions!G$8</f>
        <v>0.15133278303612252</v>
      </c>
      <c r="G415">
        <f>Definitions!G$18</f>
        <v>0.14734469250135696</v>
      </c>
      <c r="H415">
        <f>Definitions!G$26</f>
        <v>7.3226734992402288E-5</v>
      </c>
      <c r="I415" s="6">
        <f t="shared" si="70"/>
        <v>0.29875070227247186</v>
      </c>
      <c r="J415" s="1">
        <f t="shared" ca="1" si="66"/>
        <v>4.1145994476029539</v>
      </c>
      <c r="K415" s="1">
        <f t="shared" ca="1" si="65"/>
        <v>1.2292394745413073</v>
      </c>
    </row>
    <row r="416" spans="2:11" x14ac:dyDescent="0.25">
      <c r="D416" s="4" t="s">
        <v>33</v>
      </c>
      <c r="F416">
        <f>Definitions!G$8</f>
        <v>0.15133278303612252</v>
      </c>
      <c r="G416">
        <f>Definitions!G$18</f>
        <v>0.14734469250135696</v>
      </c>
      <c r="H416">
        <f>Definitions!G$27</f>
        <v>6.266203655303857E-7</v>
      </c>
      <c r="I416" s="6">
        <f t="shared" si="70"/>
        <v>0.29867810215784502</v>
      </c>
      <c r="J416" s="1">
        <f t="shared" ca="1" si="66"/>
        <v>4.5747638514235893</v>
      </c>
      <c r="K416" s="1">
        <f t="shared" ca="1" si="65"/>
        <v>1.3663817849635114</v>
      </c>
    </row>
    <row r="417" spans="2:11" x14ac:dyDescent="0.25">
      <c r="D417" s="4" t="s">
        <v>34</v>
      </c>
      <c r="F417">
        <f>Definitions!G$8</f>
        <v>0.15133278303612252</v>
      </c>
      <c r="G417">
        <f>Definitions!G$18</f>
        <v>0.14734469250135696</v>
      </c>
      <c r="H417">
        <f>Definitions!G$28</f>
        <v>5.3621547176475137E-9</v>
      </c>
      <c r="I417" s="6">
        <f t="shared" si="70"/>
        <v>0.2986774808996342</v>
      </c>
      <c r="J417" s="1">
        <f t="shared" ca="1" si="66"/>
        <v>4.269123035988609</v>
      </c>
      <c r="K417" s="1">
        <f t="shared" ca="1" si="65"/>
        <v>1.275090914039676</v>
      </c>
    </row>
    <row r="418" spans="2:11" x14ac:dyDescent="0.25">
      <c r="D418" s="4" t="s">
        <v>35</v>
      </c>
      <c r="F418">
        <f>Definitions!G$8</f>
        <v>0.15133278303612252</v>
      </c>
      <c r="G418">
        <f>Definitions!G$18</f>
        <v>0.14734469250135696</v>
      </c>
      <c r="H418">
        <f>Definitions!G$29</f>
        <v>8.557262120117759E-3</v>
      </c>
      <c r="I418" s="6">
        <f t="shared" si="70"/>
        <v>0.30723473765759723</v>
      </c>
      <c r="J418" s="1">
        <f t="shared" ca="1" si="66"/>
        <v>3.931221258963963</v>
      </c>
      <c r="K418" s="1">
        <f t="shared" ca="1" si="65"/>
        <v>1.2078077321717624</v>
      </c>
    </row>
    <row r="419" spans="2:11" x14ac:dyDescent="0.25">
      <c r="D419" s="4" t="s">
        <v>36</v>
      </c>
      <c r="F419">
        <f>Definitions!G$8</f>
        <v>0.15133278303612252</v>
      </c>
      <c r="G419">
        <f>Definitions!G$18</f>
        <v>0.14734469250135696</v>
      </c>
      <c r="H419">
        <f>Definitions!G$30</f>
        <v>7.3226734992402288E-5</v>
      </c>
      <c r="I419" s="6">
        <f t="shared" si="70"/>
        <v>0.29875070227247186</v>
      </c>
      <c r="J419" s="1">
        <f t="shared" ca="1" si="66"/>
        <v>2.2963252499948847</v>
      </c>
      <c r="K419" s="1">
        <f t="shared" ca="1" si="65"/>
        <v>0.68602878108198129</v>
      </c>
    </row>
    <row r="420" spans="2:11" x14ac:dyDescent="0.25">
      <c r="D420" s="4" t="s">
        <v>37</v>
      </c>
      <c r="F420">
        <f>Definitions!G$8</f>
        <v>0.15133278303612252</v>
      </c>
      <c r="G420">
        <f>Definitions!G$18</f>
        <v>0.14734469250135696</v>
      </c>
      <c r="H420">
        <f>Definitions!G$31</f>
        <v>6.266203655303857E-7</v>
      </c>
      <c r="I420" s="6">
        <f t="shared" si="70"/>
        <v>0.29867810215784502</v>
      </c>
      <c r="J420" s="1">
        <f t="shared" ca="1" si="66"/>
        <v>5.2757943126019784</v>
      </c>
      <c r="K420" s="1">
        <f t="shared" ca="1" si="65"/>
        <v>1.5757642326631114</v>
      </c>
    </row>
    <row r="421" spans="2:11" x14ac:dyDescent="0.25">
      <c r="D421" s="4" t="s">
        <v>38</v>
      </c>
      <c r="F421">
        <f>Definitions!G$8</f>
        <v>0.15133278303612252</v>
      </c>
      <c r="G421">
        <f>Definitions!G$18</f>
        <v>0.14734469250135696</v>
      </c>
      <c r="H421">
        <f>Definitions!G$32</f>
        <v>8.557262120117759E-3</v>
      </c>
      <c r="I421" s="6">
        <f t="shared" si="68"/>
        <v>0.30723473765759723</v>
      </c>
      <c r="J421" s="1">
        <f t="shared" ca="1" si="66"/>
        <v>5.445480051930323</v>
      </c>
      <c r="K421" s="1">
        <f t="shared" ca="1" si="65"/>
        <v>1.6730406351744918</v>
      </c>
    </row>
    <row r="422" spans="2:11" x14ac:dyDescent="0.25">
      <c r="D422" s="4" t="s">
        <v>39</v>
      </c>
      <c r="F422">
        <f>Definitions!G$8</f>
        <v>0.15133278303612252</v>
      </c>
      <c r="G422">
        <f>Definitions!G$18</f>
        <v>0.14734469250135696</v>
      </c>
      <c r="H422">
        <f>Definitions!G$33</f>
        <v>7.3226734992402288E-5</v>
      </c>
      <c r="I422" s="6">
        <f t="shared" si="68"/>
        <v>0.29875070227247186</v>
      </c>
      <c r="J422" s="1">
        <f t="shared" ca="1" si="66"/>
        <v>5.1171475261665291</v>
      </c>
      <c r="K422" s="1">
        <f t="shared" ca="1" si="65"/>
        <v>1.5287514170740926</v>
      </c>
    </row>
    <row r="423" spans="2:11" x14ac:dyDescent="0.25">
      <c r="D423" s="4" t="s">
        <v>40</v>
      </c>
      <c r="F423">
        <f>Definitions!G$8</f>
        <v>0.15133278303612252</v>
      </c>
      <c r="G423">
        <f>Definitions!G$18</f>
        <v>0.14734469250135696</v>
      </c>
      <c r="H423">
        <f>Definitions!G$34</f>
        <v>8.557262120117759E-3</v>
      </c>
      <c r="I423" s="6">
        <f t="shared" si="68"/>
        <v>0.30723473765759723</v>
      </c>
      <c r="J423" s="1">
        <f t="shared" ca="1" si="66"/>
        <v>5.3119209283008448</v>
      </c>
      <c r="K423" s="1">
        <f t="shared" ca="1" si="65"/>
        <v>1.6320066328644105</v>
      </c>
    </row>
    <row r="424" spans="2:11" x14ac:dyDescent="0.25">
      <c r="B424" s="4"/>
      <c r="C424" s="4" t="s">
        <v>30</v>
      </c>
      <c r="D424" s="4" t="s">
        <v>19</v>
      </c>
      <c r="F424">
        <f>Definitions!G$8</f>
        <v>0.15133278303612252</v>
      </c>
      <c r="G424">
        <f>Definitions!G$18</f>
        <v>0.14734469250135696</v>
      </c>
      <c r="I424" s="6">
        <f t="shared" ref="I424" si="72">IF(1-(SUM(I425:I434))&lt;0,0,1-(SUM(I425:I434)))</f>
        <v>0</v>
      </c>
      <c r="J424" s="1">
        <f t="shared" ca="1" si="66"/>
        <v>2.6753211534115686</v>
      </c>
      <c r="K424" s="1">
        <f t="shared" ca="1" si="65"/>
        <v>0</v>
      </c>
    </row>
    <row r="425" spans="2:11" x14ac:dyDescent="0.25">
      <c r="D425" s="4" t="s">
        <v>32</v>
      </c>
      <c r="F425">
        <f>Definitions!G$8</f>
        <v>0.15133278303612252</v>
      </c>
      <c r="G425">
        <f>Definitions!G$19</f>
        <v>5.75556680434896E-3</v>
      </c>
      <c r="H425">
        <f>Definitions!G$25</f>
        <v>8.557262120117759E-3</v>
      </c>
      <c r="I425" s="6">
        <f t="shared" si="70"/>
        <v>0.16564561196058925</v>
      </c>
      <c r="J425" s="1">
        <f t="shared" ca="1" si="66"/>
        <v>3.291978238764635</v>
      </c>
      <c r="K425" s="1">
        <f t="shared" ca="1" si="65"/>
        <v>0.54530174992111069</v>
      </c>
    </row>
    <row r="426" spans="2:11" x14ac:dyDescent="0.25">
      <c r="D426" s="4" t="s">
        <v>25</v>
      </c>
      <c r="F426">
        <f>Definitions!G$8</f>
        <v>0.15133278303612252</v>
      </c>
      <c r="G426">
        <f>Definitions!G$19</f>
        <v>5.75556680434896E-3</v>
      </c>
      <c r="H426">
        <f>Definitions!G$26</f>
        <v>7.3226734992402288E-5</v>
      </c>
      <c r="I426" s="6">
        <f t="shared" si="70"/>
        <v>0.1571615765754639</v>
      </c>
      <c r="J426" s="1">
        <f t="shared" ca="1" si="66"/>
        <v>6.4217401537103651</v>
      </c>
      <c r="K426" s="1">
        <f t="shared" ca="1" si="65"/>
        <v>1.0092508069150827</v>
      </c>
    </row>
    <row r="427" spans="2:11" x14ac:dyDescent="0.25">
      <c r="D427" s="4" t="s">
        <v>33</v>
      </c>
      <c r="F427">
        <f>Definitions!G$8</f>
        <v>0.15133278303612252</v>
      </c>
      <c r="G427">
        <f>Definitions!G$19</f>
        <v>5.75556680434896E-3</v>
      </c>
      <c r="H427">
        <f>Definitions!G$27</f>
        <v>6.266203655303857E-7</v>
      </c>
      <c r="I427" s="6">
        <f t="shared" si="70"/>
        <v>0.15708897646083703</v>
      </c>
      <c r="J427" s="1">
        <f t="shared" ca="1" si="66"/>
        <v>7.1807775856520593</v>
      </c>
      <c r="K427" s="1">
        <f t="shared" ca="1" si="65"/>
        <v>1.1280210011230025</v>
      </c>
    </row>
    <row r="428" spans="2:11" x14ac:dyDescent="0.25">
      <c r="D428" s="4" t="s">
        <v>34</v>
      </c>
      <c r="F428">
        <f>Definitions!G$8</f>
        <v>0.15133278303612252</v>
      </c>
      <c r="G428">
        <f>Definitions!G$19</f>
        <v>5.75556680434896E-3</v>
      </c>
      <c r="H428">
        <f>Definitions!G$28</f>
        <v>5.3621547176475137E-9</v>
      </c>
      <c r="I428" s="6">
        <f t="shared" si="70"/>
        <v>0.15708835520262621</v>
      </c>
      <c r="J428" s="1">
        <f t="shared" ca="1" si="66"/>
        <v>1.2353133334132855</v>
      </c>
      <c r="K428" s="1">
        <f t="shared" ca="1" si="65"/>
        <v>0.19405333970576641</v>
      </c>
    </row>
    <row r="429" spans="2:11" x14ac:dyDescent="0.25">
      <c r="D429" s="4" t="s">
        <v>35</v>
      </c>
      <c r="F429">
        <f>Definitions!G$8</f>
        <v>0.15133278303612252</v>
      </c>
      <c r="G429">
        <f>Definitions!G$19</f>
        <v>5.75556680434896E-3</v>
      </c>
      <c r="H429">
        <f>Definitions!G$29</f>
        <v>8.557262120117759E-3</v>
      </c>
      <c r="I429" s="6">
        <f t="shared" si="70"/>
        <v>0.16564561196058925</v>
      </c>
      <c r="J429" s="1">
        <f t="shared" ca="1" si="66"/>
        <v>4.9381384444574969</v>
      </c>
      <c r="K429" s="1">
        <f t="shared" ca="1" si="65"/>
        <v>0.81798096457827429</v>
      </c>
    </row>
    <row r="430" spans="2:11" x14ac:dyDescent="0.25">
      <c r="D430" s="4" t="s">
        <v>36</v>
      </c>
      <c r="F430">
        <f>Definitions!G$8</f>
        <v>0.15133278303612252</v>
      </c>
      <c r="G430">
        <f>Definitions!G$19</f>
        <v>5.75556680434896E-3</v>
      </c>
      <c r="H430">
        <f>Definitions!G$30</f>
        <v>7.3226734992402288E-5</v>
      </c>
      <c r="I430" s="6">
        <f t="shared" si="70"/>
        <v>0.1571615765754639</v>
      </c>
      <c r="J430" s="1">
        <f t="shared" ca="1" si="66"/>
        <v>3.2674052699728016</v>
      </c>
      <c r="K430" s="1">
        <f t="shared" ca="1" si="65"/>
        <v>0.51351056353990476</v>
      </c>
    </row>
    <row r="431" spans="2:11" x14ac:dyDescent="0.25">
      <c r="D431" s="4" t="s">
        <v>37</v>
      </c>
      <c r="F431">
        <f>Definitions!G$8</f>
        <v>0.15133278303612252</v>
      </c>
      <c r="G431">
        <f>Definitions!G$19</f>
        <v>5.75556680434896E-3</v>
      </c>
      <c r="H431">
        <f>Definitions!G$31</f>
        <v>6.266203655303857E-7</v>
      </c>
      <c r="I431" s="6">
        <f t="shared" si="70"/>
        <v>0.15708897646083703</v>
      </c>
      <c r="J431" s="1">
        <f t="shared" ca="1" si="66"/>
        <v>3.1593217068156343</v>
      </c>
      <c r="K431" s="1">
        <f t="shared" ca="1" si="65"/>
        <v>0.49629461323417262</v>
      </c>
    </row>
    <row r="432" spans="2:11" x14ac:dyDescent="0.25">
      <c r="D432" s="4" t="s">
        <v>38</v>
      </c>
      <c r="F432">
        <f>Definitions!G$8</f>
        <v>0.15133278303612252</v>
      </c>
      <c r="G432">
        <f>Definitions!G$19</f>
        <v>5.75556680434896E-3</v>
      </c>
      <c r="H432">
        <f>Definitions!G$32</f>
        <v>8.557262120117759E-3</v>
      </c>
      <c r="I432" s="6">
        <f t="shared" si="68"/>
        <v>0.16564561196058925</v>
      </c>
      <c r="J432" s="1">
        <f t="shared" ca="1" si="66"/>
        <v>5.61607722675208</v>
      </c>
      <c r="K432" s="1">
        <f t="shared" ca="1" si="65"/>
        <v>0.93027854904327723</v>
      </c>
    </row>
    <row r="433" spans="2:11" x14ac:dyDescent="0.25">
      <c r="D433" s="4" t="s">
        <v>39</v>
      </c>
      <c r="F433">
        <f>Definitions!G$8</f>
        <v>0.15133278303612252</v>
      </c>
      <c r="G433">
        <f>Definitions!G$19</f>
        <v>5.75556680434896E-3</v>
      </c>
      <c r="H433">
        <f>Definitions!G$33</f>
        <v>7.3226734992402288E-5</v>
      </c>
      <c r="I433" s="6">
        <f t="shared" si="68"/>
        <v>0.1571615765754639</v>
      </c>
      <c r="J433" s="1">
        <f t="shared" ca="1" si="66"/>
        <v>6.6864047493156669</v>
      </c>
      <c r="K433" s="1">
        <f t="shared" ca="1" si="65"/>
        <v>1.0508459120241196</v>
      </c>
    </row>
    <row r="434" spans="2:11" x14ac:dyDescent="0.25">
      <c r="D434" s="4" t="s">
        <v>40</v>
      </c>
      <c r="F434">
        <f>Definitions!G$8</f>
        <v>0.15133278303612252</v>
      </c>
      <c r="G434">
        <f>Definitions!G$19</f>
        <v>5.75556680434896E-3</v>
      </c>
      <c r="H434">
        <f>Definitions!G$34</f>
        <v>8.557262120117759E-3</v>
      </c>
      <c r="I434" s="6">
        <f t="shared" si="68"/>
        <v>0.16564561196058925</v>
      </c>
      <c r="J434" s="1">
        <f t="shared" ca="1" si="66"/>
        <v>1.9032547841648095</v>
      </c>
      <c r="K434" s="1">
        <f t="shared" ca="1" si="65"/>
        <v>0.31526580343989907</v>
      </c>
    </row>
    <row r="435" spans="2:11" x14ac:dyDescent="0.25">
      <c r="B435" s="4"/>
      <c r="C435" s="4" t="s">
        <v>31</v>
      </c>
      <c r="D435" s="4" t="s">
        <v>19</v>
      </c>
      <c r="F435">
        <f>Definitions!G$8</f>
        <v>0.15133278303612252</v>
      </c>
      <c r="G435">
        <f>Definitions!G$19</f>
        <v>5.75556680434896E-3</v>
      </c>
      <c r="I435" s="6">
        <f t="shared" ref="I435" si="73">IF(1-(SUM(I436:I445))&lt;0,0,1-(SUM(I436:I445)))</f>
        <v>0</v>
      </c>
      <c r="J435" s="1">
        <f t="shared" ca="1" si="66"/>
        <v>4.5967799149460733</v>
      </c>
      <c r="K435" s="1">
        <f t="shared" ca="1" si="65"/>
        <v>0</v>
      </c>
    </row>
    <row r="436" spans="2:11" x14ac:dyDescent="0.25">
      <c r="D436" s="4" t="s">
        <v>32</v>
      </c>
      <c r="F436">
        <f>Definitions!G$8</f>
        <v>0.15133278303612252</v>
      </c>
      <c r="G436">
        <f>Definitions!G$20</f>
        <v>3.9061921448551362E-2</v>
      </c>
      <c r="H436">
        <f>Definitions!G$25</f>
        <v>8.557262120117759E-3</v>
      </c>
      <c r="I436" s="6">
        <f t="shared" si="70"/>
        <v>0.19895196660479164</v>
      </c>
      <c r="J436" s="1">
        <f t="shared" ca="1" si="66"/>
        <v>1.3125478443581415</v>
      </c>
      <c r="K436" s="1">
        <f t="shared" ca="1" si="65"/>
        <v>0.26113397489793222</v>
      </c>
    </row>
    <row r="437" spans="2:11" x14ac:dyDescent="0.25">
      <c r="D437" s="4" t="s">
        <v>25</v>
      </c>
      <c r="F437">
        <f>Definitions!G$8</f>
        <v>0.15133278303612252</v>
      </c>
      <c r="G437">
        <f>Definitions!G$20</f>
        <v>3.9061921448551362E-2</v>
      </c>
      <c r="H437">
        <f>Definitions!G$26</f>
        <v>7.3226734992402288E-5</v>
      </c>
      <c r="I437" s="6">
        <f t="shared" si="70"/>
        <v>0.19046793121966629</v>
      </c>
      <c r="J437" s="1">
        <f t="shared" ca="1" si="66"/>
        <v>6.2796865472057206</v>
      </c>
      <c r="K437" s="1">
        <f t="shared" ca="1" si="65"/>
        <v>1.1960789053542429</v>
      </c>
    </row>
    <row r="438" spans="2:11" x14ac:dyDescent="0.25">
      <c r="D438" s="4" t="s">
        <v>33</v>
      </c>
      <c r="F438">
        <f>Definitions!G$8</f>
        <v>0.15133278303612252</v>
      </c>
      <c r="G438">
        <f>Definitions!G$20</f>
        <v>3.9061921448551362E-2</v>
      </c>
      <c r="H438">
        <f>Definitions!G$27</f>
        <v>6.266203655303857E-7</v>
      </c>
      <c r="I438" s="6">
        <f t="shared" si="70"/>
        <v>0.19039533110503942</v>
      </c>
      <c r="J438" s="1">
        <f t="shared" ca="1" si="66"/>
        <v>4.0131289762949507</v>
      </c>
      <c r="K438" s="1">
        <f t="shared" ca="1" si="65"/>
        <v>0.764081020208905</v>
      </c>
    </row>
    <row r="439" spans="2:11" x14ac:dyDescent="0.25">
      <c r="D439" s="4" t="s">
        <v>34</v>
      </c>
      <c r="F439">
        <f>Definitions!G$8</f>
        <v>0.15133278303612252</v>
      </c>
      <c r="G439">
        <f>Definitions!G$20</f>
        <v>3.9061921448551362E-2</v>
      </c>
      <c r="H439">
        <f>Definitions!G$28</f>
        <v>5.3621547176475137E-9</v>
      </c>
      <c r="I439" s="6">
        <f t="shared" si="70"/>
        <v>0.1903947098468286</v>
      </c>
      <c r="J439" s="1">
        <f t="shared" ca="1" si="66"/>
        <v>5.3474746378592481</v>
      </c>
      <c r="K439" s="1">
        <f t="shared" ca="1" si="65"/>
        <v>1.0181308820884865</v>
      </c>
    </row>
    <row r="440" spans="2:11" x14ac:dyDescent="0.25">
      <c r="D440" s="4" t="s">
        <v>35</v>
      </c>
      <c r="F440">
        <f>Definitions!G$8</f>
        <v>0.15133278303612252</v>
      </c>
      <c r="G440">
        <f>Definitions!G$20</f>
        <v>3.9061921448551362E-2</v>
      </c>
      <c r="H440">
        <f>Definitions!G$29</f>
        <v>8.557262120117759E-3</v>
      </c>
      <c r="I440" s="6">
        <f t="shared" si="70"/>
        <v>0.19895196660479164</v>
      </c>
      <c r="J440" s="1">
        <f t="shared" ca="1" si="66"/>
        <v>2.0134873719403612</v>
      </c>
      <c r="K440" s="1">
        <f t="shared" ca="1" si="65"/>
        <v>0.40058727238144842</v>
      </c>
    </row>
    <row r="441" spans="2:11" x14ac:dyDescent="0.25">
      <c r="D441" s="4" t="s">
        <v>36</v>
      </c>
      <c r="F441">
        <f>Definitions!G$8</f>
        <v>0.15133278303612252</v>
      </c>
      <c r="G441">
        <f>Definitions!G$20</f>
        <v>3.9061921448551362E-2</v>
      </c>
      <c r="H441">
        <f>Definitions!G$30</f>
        <v>7.3226734992402288E-5</v>
      </c>
      <c r="I441" s="6">
        <f t="shared" si="70"/>
        <v>0.19046793121966629</v>
      </c>
      <c r="J441" s="1">
        <f t="shared" ca="1" si="66"/>
        <v>5.3320307875799822</v>
      </c>
      <c r="K441" s="1">
        <f t="shared" ca="1" si="65"/>
        <v>1.0155808733099272</v>
      </c>
    </row>
    <row r="442" spans="2:11" x14ac:dyDescent="0.25">
      <c r="D442" s="4" t="s">
        <v>37</v>
      </c>
      <c r="F442">
        <f>Definitions!G$8</f>
        <v>0.15133278303612252</v>
      </c>
      <c r="G442">
        <f>Definitions!G$20</f>
        <v>3.9061921448551362E-2</v>
      </c>
      <c r="H442">
        <f>Definitions!G$31</f>
        <v>6.266203655303857E-7</v>
      </c>
      <c r="I442" s="6">
        <f t="shared" si="70"/>
        <v>0.19039533110503942</v>
      </c>
      <c r="J442" s="1">
        <f t="shared" ca="1" si="66"/>
        <v>6.5056914197868423</v>
      </c>
      <c r="K442" s="1">
        <f t="shared" ca="1" si="65"/>
        <v>1.2386532719375298</v>
      </c>
    </row>
    <row r="443" spans="2:11" x14ac:dyDescent="0.25">
      <c r="D443" s="4" t="s">
        <v>38</v>
      </c>
      <c r="F443">
        <f>Definitions!G$8</f>
        <v>0.15133278303612252</v>
      </c>
      <c r="G443">
        <f>Definitions!G$20</f>
        <v>3.9061921448551362E-2</v>
      </c>
      <c r="H443">
        <f>Definitions!G$32</f>
        <v>8.557262120117759E-3</v>
      </c>
      <c r="I443" s="6">
        <f t="shared" si="68"/>
        <v>0.19895196660479164</v>
      </c>
      <c r="J443" s="1">
        <f t="shared" ca="1" si="66"/>
        <v>4.2821986706518098</v>
      </c>
      <c r="K443" s="1">
        <f t="shared" ca="1" si="65"/>
        <v>0.85195184691860204</v>
      </c>
    </row>
    <row r="444" spans="2:11" x14ac:dyDescent="0.25">
      <c r="D444" s="4" t="s">
        <v>39</v>
      </c>
      <c r="F444">
        <f>Definitions!G$8</f>
        <v>0.15133278303612252</v>
      </c>
      <c r="G444">
        <f>Definitions!G$20</f>
        <v>3.9061921448551362E-2</v>
      </c>
      <c r="H444">
        <f>Definitions!G$33</f>
        <v>7.3226734992402288E-5</v>
      </c>
      <c r="I444" s="6">
        <f t="shared" si="68"/>
        <v>0.19046793121966629</v>
      </c>
      <c r="J444" s="1">
        <f t="shared" ca="1" si="66"/>
        <v>4.5070372378866068</v>
      </c>
      <c r="K444" s="1">
        <f t="shared" ca="1" si="65"/>
        <v>0.85844605863026102</v>
      </c>
    </row>
    <row r="445" spans="2:11" x14ac:dyDescent="0.25">
      <c r="D445" s="4" t="s">
        <v>40</v>
      </c>
      <c r="F445">
        <f>Definitions!G$8</f>
        <v>0.15133278303612252</v>
      </c>
      <c r="G445">
        <f>Definitions!G$20</f>
        <v>3.9061921448551362E-2</v>
      </c>
      <c r="H445">
        <f>Definitions!G$34</f>
        <v>8.557262120117759E-3</v>
      </c>
      <c r="I445" s="6">
        <f t="shared" si="68"/>
        <v>0.19895196660479164</v>
      </c>
      <c r="J445" s="1">
        <f t="shared" ca="1" si="66"/>
        <v>5.888109934086498</v>
      </c>
      <c r="K445" s="1">
        <f t="shared" ca="1" si="65"/>
        <v>1.1714510509717189</v>
      </c>
    </row>
    <row r="446" spans="2:11" x14ac:dyDescent="0.25">
      <c r="B446" s="4" t="s">
        <v>23</v>
      </c>
      <c r="C446" s="4" t="s">
        <v>18</v>
      </c>
      <c r="D446" s="4" t="s">
        <v>19</v>
      </c>
      <c r="F446">
        <f>Definitions!G$9</f>
        <v>1.5438385315745349E-3</v>
      </c>
      <c r="I446" s="6">
        <f t="shared" ref="I446" si="74">IF(1-(SUM(I447:I456))&lt;0,0,1-(SUM(I447:I456)))</f>
        <v>0.95011162739592059</v>
      </c>
      <c r="J446" s="1">
        <f t="shared" ca="1" si="66"/>
        <v>3.392998544090319</v>
      </c>
      <c r="K446" s="1">
        <f t="shared" ref="K446:K509" ca="1" si="75">I446*J446</f>
        <v>3.223727368477642</v>
      </c>
    </row>
    <row r="447" spans="2:11" x14ac:dyDescent="0.25">
      <c r="D447" s="4" t="s">
        <v>32</v>
      </c>
      <c r="F447">
        <f>Definitions!G$9</f>
        <v>1.5438385315745349E-3</v>
      </c>
      <c r="H447">
        <f>Definitions!G$25</f>
        <v>8.557262120117759E-3</v>
      </c>
      <c r="I447" s="6">
        <f t="shared" si="70"/>
        <v>1.0101100651692294E-2</v>
      </c>
      <c r="J447" s="1">
        <f t="shared" ref="J447:J510" ca="1" si="76">_xlfn.NORM.INV(RAND(),4,2)</f>
        <v>3.0857858977103789</v>
      </c>
      <c r="K447" s="1">
        <f t="shared" ca="1" si="75"/>
        <v>3.1169833942345199E-2</v>
      </c>
    </row>
    <row r="448" spans="2:11" x14ac:dyDescent="0.25">
      <c r="D448" s="4" t="s">
        <v>25</v>
      </c>
      <c r="F448">
        <f>Definitions!G$9</f>
        <v>1.5438385315745349E-3</v>
      </c>
      <c r="H448">
        <f>Definitions!G$26</f>
        <v>7.3226734992402288E-5</v>
      </c>
      <c r="I448" s="6">
        <f t="shared" si="70"/>
        <v>1.6170652665669371E-3</v>
      </c>
      <c r="J448" s="1">
        <f t="shared" ca="1" si="76"/>
        <v>4.1962349480858814</v>
      </c>
      <c r="K448" s="1">
        <f t="shared" ca="1" si="75"/>
        <v>6.7855857849039936E-3</v>
      </c>
    </row>
    <row r="449" spans="2:11" x14ac:dyDescent="0.25">
      <c r="D449" s="4" t="s">
        <v>33</v>
      </c>
      <c r="F449">
        <f>Definitions!G$9</f>
        <v>1.5438385315745349E-3</v>
      </c>
      <c r="H449">
        <f>Definitions!G$27</f>
        <v>6.266203655303857E-7</v>
      </c>
      <c r="I449" s="6">
        <f t="shared" si="70"/>
        <v>1.5444651519400652E-3</v>
      </c>
      <c r="J449" s="1">
        <f t="shared" ca="1" si="76"/>
        <v>7.0996392010442317</v>
      </c>
      <c r="K449" s="1">
        <f t="shared" ca="1" si="75"/>
        <v>1.0965145337360422E-2</v>
      </c>
    </row>
    <row r="450" spans="2:11" x14ac:dyDescent="0.25">
      <c r="D450" s="4" t="s">
        <v>34</v>
      </c>
      <c r="F450">
        <f>Definitions!G$9</f>
        <v>1.5438385315745349E-3</v>
      </c>
      <c r="H450">
        <f>Definitions!G$28</f>
        <v>5.3621547176475137E-9</v>
      </c>
      <c r="I450" s="6">
        <f t="shared" si="70"/>
        <v>1.5438438937292525E-3</v>
      </c>
      <c r="J450" s="1">
        <f t="shared" ca="1" si="76"/>
        <v>3.368458210391208</v>
      </c>
      <c r="K450" s="1">
        <f t="shared" ca="1" si="75"/>
        <v>5.2003736393946322E-3</v>
      </c>
    </row>
    <row r="451" spans="2:11" x14ac:dyDescent="0.25">
      <c r="D451" s="4" t="s">
        <v>35</v>
      </c>
      <c r="F451">
        <f>Definitions!G$9</f>
        <v>1.5438385315745349E-3</v>
      </c>
      <c r="H451">
        <f>Definitions!G$29</f>
        <v>8.557262120117759E-3</v>
      </c>
      <c r="I451" s="6">
        <f t="shared" si="70"/>
        <v>1.0101100651692294E-2</v>
      </c>
      <c r="J451" s="1">
        <f t="shared" ca="1" si="76"/>
        <v>1.4967317746561268</v>
      </c>
      <c r="K451" s="1">
        <f t="shared" ca="1" si="75"/>
        <v>1.5118638304387566E-2</v>
      </c>
    </row>
    <row r="452" spans="2:11" x14ac:dyDescent="0.25">
      <c r="D452" s="4" t="s">
        <v>36</v>
      </c>
      <c r="F452">
        <f>Definitions!G$9</f>
        <v>1.5438385315745349E-3</v>
      </c>
      <c r="H452">
        <f>Definitions!G$30</f>
        <v>7.3226734992402288E-5</v>
      </c>
      <c r="I452" s="6">
        <f t="shared" si="70"/>
        <v>1.6170652665669371E-3</v>
      </c>
      <c r="J452" s="1">
        <f t="shared" ca="1" si="76"/>
        <v>7.0679115352134385</v>
      </c>
      <c r="K452" s="1">
        <f t="shared" ca="1" si="75"/>
        <v>1.1429274250761449E-2</v>
      </c>
    </row>
    <row r="453" spans="2:11" x14ac:dyDescent="0.25">
      <c r="D453" s="4" t="s">
        <v>37</v>
      </c>
      <c r="F453">
        <f>Definitions!G$9</f>
        <v>1.5438385315745349E-3</v>
      </c>
      <c r="H453">
        <f>Definitions!G$31</f>
        <v>6.266203655303857E-7</v>
      </c>
      <c r="I453" s="6">
        <f t="shared" si="70"/>
        <v>1.5444651519400652E-3</v>
      </c>
      <c r="J453" s="1">
        <f t="shared" ca="1" si="76"/>
        <v>2.8662027912090884</v>
      </c>
      <c r="K453" s="1">
        <f t="shared" ca="1" si="75"/>
        <v>4.4267503294157838E-3</v>
      </c>
    </row>
    <row r="454" spans="2:11" x14ac:dyDescent="0.25">
      <c r="D454" s="4" t="s">
        <v>38</v>
      </c>
      <c r="F454">
        <f>Definitions!G$9</f>
        <v>1.5438385315745349E-3</v>
      </c>
      <c r="H454">
        <f>Definitions!G$32</f>
        <v>8.557262120117759E-3</v>
      </c>
      <c r="I454" s="6">
        <f t="shared" si="68"/>
        <v>1.0101100651692294E-2</v>
      </c>
      <c r="J454" s="1">
        <f t="shared" ca="1" si="76"/>
        <v>5.2241938923984641</v>
      </c>
      <c r="K454" s="1">
        <f t="shared" ca="1" si="75"/>
        <v>5.2770108331073026E-2</v>
      </c>
    </row>
    <row r="455" spans="2:11" x14ac:dyDescent="0.25">
      <c r="D455" s="4" t="s">
        <v>39</v>
      </c>
      <c r="F455">
        <f>Definitions!G$9</f>
        <v>1.5438385315745349E-3</v>
      </c>
      <c r="H455">
        <f>Definitions!G$33</f>
        <v>7.3226734992402288E-5</v>
      </c>
      <c r="I455" s="6">
        <f t="shared" si="68"/>
        <v>1.6170652665669371E-3</v>
      </c>
      <c r="J455" s="1">
        <f t="shared" ca="1" si="76"/>
        <v>2.2045807262193051</v>
      </c>
      <c r="K455" s="1">
        <f t="shared" ca="1" si="75"/>
        <v>3.5649509197121527E-3</v>
      </c>
    </row>
    <row r="456" spans="2:11" x14ac:dyDescent="0.25">
      <c r="D456" s="4" t="s">
        <v>40</v>
      </c>
      <c r="F456">
        <f>Definitions!G$9</f>
        <v>1.5438385315745349E-3</v>
      </c>
      <c r="H456">
        <f>Definitions!G$34</f>
        <v>8.557262120117759E-3</v>
      </c>
      <c r="I456" s="6">
        <f t="shared" si="68"/>
        <v>1.0101100651692294E-2</v>
      </c>
      <c r="J456" s="1">
        <f t="shared" ca="1" si="76"/>
        <v>2.1723066014854515</v>
      </c>
      <c r="K456" s="1">
        <f t="shared" ca="1" si="75"/>
        <v>2.1942687627940168E-2</v>
      </c>
    </row>
    <row r="457" spans="2:11" x14ac:dyDescent="0.25">
      <c r="B457" s="4" t="s">
        <v>23</v>
      </c>
      <c r="C457" s="4" t="s">
        <v>26</v>
      </c>
      <c r="D457" s="4" t="s">
        <v>19</v>
      </c>
      <c r="F457">
        <f>Definitions!G$9</f>
        <v>1.5438385315745349E-3</v>
      </c>
      <c r="G457">
        <f>Definitions!G$15</f>
        <v>0.14734469250135696</v>
      </c>
      <c r="I457" s="6">
        <f t="shared" ref="I457" si="77">IF(1-(SUM(I458:I467))&lt;0,0,1-(SUM(I458:I467)))</f>
        <v>0</v>
      </c>
      <c r="J457" s="1">
        <f t="shared" ca="1" si="76"/>
        <v>3.9551886778632404</v>
      </c>
      <c r="K457" s="1">
        <f t="shared" ca="1" si="75"/>
        <v>0</v>
      </c>
    </row>
    <row r="458" spans="2:11" x14ac:dyDescent="0.25">
      <c r="D458" s="4" t="s">
        <v>32</v>
      </c>
      <c r="F458">
        <f>Definitions!G$9</f>
        <v>1.5438385315745349E-3</v>
      </c>
      <c r="G458">
        <f>Definitions!G$15</f>
        <v>0.14734469250135696</v>
      </c>
      <c r="H458">
        <f>Definitions!G$25</f>
        <v>8.557262120117759E-3</v>
      </c>
      <c r="I458" s="6">
        <f t="shared" si="70"/>
        <v>0.15744579315304924</v>
      </c>
      <c r="J458" s="1">
        <f t="shared" ca="1" si="76"/>
        <v>1.5463626583748518</v>
      </c>
      <c r="K458" s="1">
        <f t="shared" ca="1" si="75"/>
        <v>0.24346829525008626</v>
      </c>
    </row>
    <row r="459" spans="2:11" x14ac:dyDescent="0.25">
      <c r="D459" s="4" t="s">
        <v>25</v>
      </c>
      <c r="F459">
        <f>Definitions!G$9</f>
        <v>1.5438385315745349E-3</v>
      </c>
      <c r="G459">
        <f>Definitions!G$15</f>
        <v>0.14734469250135696</v>
      </c>
      <c r="H459">
        <f>Definitions!G$26</f>
        <v>7.3226734992402288E-5</v>
      </c>
      <c r="I459" s="6">
        <f t="shared" si="70"/>
        <v>0.14896175776792389</v>
      </c>
      <c r="J459" s="1">
        <f t="shared" ca="1" si="76"/>
        <v>4.8595101922409576</v>
      </c>
      <c r="K459" s="1">
        <f t="shared" ca="1" si="75"/>
        <v>0.72388118012735481</v>
      </c>
    </row>
    <row r="460" spans="2:11" x14ac:dyDescent="0.25">
      <c r="D460" s="4" t="s">
        <v>33</v>
      </c>
      <c r="F460">
        <f>Definitions!G$9</f>
        <v>1.5438385315745349E-3</v>
      </c>
      <c r="G460">
        <f>Definitions!G$15</f>
        <v>0.14734469250135696</v>
      </c>
      <c r="H460">
        <f>Definitions!G$27</f>
        <v>6.266203655303857E-7</v>
      </c>
      <c r="I460" s="6">
        <f t="shared" si="70"/>
        <v>0.14888915765329702</v>
      </c>
      <c r="J460" s="1">
        <f t="shared" ca="1" si="76"/>
        <v>5.8872857064043824</v>
      </c>
      <c r="K460" s="1">
        <f t="shared" ca="1" si="75"/>
        <v>0.87655300969084426</v>
      </c>
    </row>
    <row r="461" spans="2:11" x14ac:dyDescent="0.25">
      <c r="D461" s="4" t="s">
        <v>34</v>
      </c>
      <c r="F461">
        <f>Definitions!G$9</f>
        <v>1.5438385315745349E-3</v>
      </c>
      <c r="G461">
        <f>Definitions!G$15</f>
        <v>0.14734469250135696</v>
      </c>
      <c r="H461">
        <f>Definitions!G$28</f>
        <v>5.3621547176475137E-9</v>
      </c>
      <c r="I461" s="6">
        <f t="shared" si="70"/>
        <v>0.1488885363950862</v>
      </c>
      <c r="J461" s="1">
        <f t="shared" ca="1" si="76"/>
        <v>8.0010648413762873</v>
      </c>
      <c r="K461" s="1">
        <f t="shared" ca="1" si="75"/>
        <v>1.1912668338346979</v>
      </c>
    </row>
    <row r="462" spans="2:11" x14ac:dyDescent="0.25">
      <c r="D462" s="4" t="s">
        <v>35</v>
      </c>
      <c r="F462">
        <f>Definitions!G$9</f>
        <v>1.5438385315745349E-3</v>
      </c>
      <c r="G462">
        <f>Definitions!G$15</f>
        <v>0.14734469250135696</v>
      </c>
      <c r="H462">
        <f>Definitions!G$29</f>
        <v>8.557262120117759E-3</v>
      </c>
      <c r="I462" s="6">
        <f t="shared" si="70"/>
        <v>0.15744579315304924</v>
      </c>
      <c r="J462" s="1">
        <f t="shared" ca="1" si="76"/>
        <v>1.967034022834488</v>
      </c>
      <c r="K462" s="1">
        <f t="shared" ca="1" si="75"/>
        <v>0.30970123188420912</v>
      </c>
    </row>
    <row r="463" spans="2:11" x14ac:dyDescent="0.25">
      <c r="D463" s="4" t="s">
        <v>36</v>
      </c>
      <c r="F463">
        <f>Definitions!G$9</f>
        <v>1.5438385315745349E-3</v>
      </c>
      <c r="G463">
        <f>Definitions!G$15</f>
        <v>0.14734469250135696</v>
      </c>
      <c r="H463">
        <f>Definitions!G$30</f>
        <v>7.3226734992402288E-5</v>
      </c>
      <c r="I463" s="6">
        <f t="shared" si="70"/>
        <v>0.14896175776792389</v>
      </c>
      <c r="J463" s="1">
        <f t="shared" ca="1" si="76"/>
        <v>4.99452418569087</v>
      </c>
      <c r="K463" s="1">
        <f t="shared" ca="1" si="75"/>
        <v>0.74399310191492074</v>
      </c>
    </row>
    <row r="464" spans="2:11" x14ac:dyDescent="0.25">
      <c r="D464" s="4" t="s">
        <v>37</v>
      </c>
      <c r="F464">
        <f>Definitions!G$9</f>
        <v>1.5438385315745349E-3</v>
      </c>
      <c r="G464">
        <f>Definitions!G$15</f>
        <v>0.14734469250135696</v>
      </c>
      <c r="H464">
        <f>Definitions!G$31</f>
        <v>6.266203655303857E-7</v>
      </c>
      <c r="I464" s="6">
        <f t="shared" si="70"/>
        <v>0.14888915765329702</v>
      </c>
      <c r="J464" s="1">
        <f t="shared" ca="1" si="76"/>
        <v>3.219869305075413</v>
      </c>
      <c r="K464" s="1">
        <f t="shared" ca="1" si="75"/>
        <v>0.47940362858638508</v>
      </c>
    </row>
    <row r="465" spans="2:11" x14ac:dyDescent="0.25">
      <c r="D465" s="4" t="s">
        <v>38</v>
      </c>
      <c r="F465">
        <f>Definitions!G$9</f>
        <v>1.5438385315745349E-3</v>
      </c>
      <c r="G465">
        <f>Definitions!G$15</f>
        <v>0.14734469250135696</v>
      </c>
      <c r="H465">
        <f>Definitions!G$32</f>
        <v>8.557262120117759E-3</v>
      </c>
      <c r="I465" s="6">
        <f t="shared" si="70"/>
        <v>0.15744579315304924</v>
      </c>
      <c r="J465" s="1">
        <f t="shared" ca="1" si="76"/>
        <v>10.24149555551708</v>
      </c>
      <c r="K465" s="1">
        <f t="shared" ca="1" si="75"/>
        <v>1.6124803908118153</v>
      </c>
    </row>
    <row r="466" spans="2:11" x14ac:dyDescent="0.25">
      <c r="D466" s="4" t="s">
        <v>39</v>
      </c>
      <c r="F466">
        <f>Definitions!G$9</f>
        <v>1.5438385315745349E-3</v>
      </c>
      <c r="G466">
        <f>Definitions!G$15</f>
        <v>0.14734469250135696</v>
      </c>
      <c r="H466">
        <f>Definitions!G$33</f>
        <v>7.3226734992402288E-5</v>
      </c>
      <c r="I466" s="6">
        <f t="shared" si="70"/>
        <v>0.14896175776792389</v>
      </c>
      <c r="J466" s="1">
        <f t="shared" ca="1" si="76"/>
        <v>6.9303748958348175</v>
      </c>
      <c r="K466" s="1">
        <f t="shared" ca="1" si="75"/>
        <v>1.0323608264742468</v>
      </c>
    </row>
    <row r="467" spans="2:11" x14ac:dyDescent="0.25">
      <c r="D467" s="4" t="s">
        <v>40</v>
      </c>
      <c r="F467">
        <f>Definitions!G$9</f>
        <v>1.5438385315745349E-3</v>
      </c>
      <c r="G467">
        <f>Definitions!G$15</f>
        <v>0.14734469250135696</v>
      </c>
      <c r="H467">
        <f>Definitions!G$34</f>
        <v>8.557262120117759E-3</v>
      </c>
      <c r="I467" s="6">
        <f t="shared" ref="I467:I522" si="78">SUM(F467+G467+H467)</f>
        <v>0.15744579315304924</v>
      </c>
      <c r="J467" s="1">
        <f t="shared" ca="1" si="76"/>
        <v>4.0696953848823565</v>
      </c>
      <c r="K467" s="1">
        <f t="shared" ca="1" si="75"/>
        <v>0.64075641776410663</v>
      </c>
    </row>
    <row r="468" spans="2:11" x14ac:dyDescent="0.25">
      <c r="B468" s="4"/>
      <c r="C468" s="4" t="s">
        <v>27</v>
      </c>
      <c r="D468" s="4" t="s">
        <v>19</v>
      </c>
      <c r="F468">
        <f>Definitions!G$9</f>
        <v>1.5438385315745349E-3</v>
      </c>
      <c r="G468">
        <f>Definitions!G$16</f>
        <v>2.1710458408319436E-2</v>
      </c>
      <c r="I468" s="6">
        <f t="shared" ref="I468" si="79">IF(1-(SUM(I469:I478))&lt;0,0,1-(SUM(I469:I478)))</f>
        <v>0.73300704331272626</v>
      </c>
      <c r="J468" s="1">
        <f t="shared" ca="1" si="76"/>
        <v>6.5762860621580685</v>
      </c>
      <c r="K468" s="1">
        <f t="shared" ca="1" si="75"/>
        <v>4.8204640024011773</v>
      </c>
    </row>
    <row r="469" spans="2:11" x14ac:dyDescent="0.25">
      <c r="D469" s="4" t="s">
        <v>32</v>
      </c>
      <c r="F469">
        <f>Definitions!G$9</f>
        <v>1.5438385315745349E-3</v>
      </c>
      <c r="G469">
        <f>Definitions!G$16</f>
        <v>2.1710458408319436E-2</v>
      </c>
      <c r="H469">
        <f>Definitions!G$25</f>
        <v>8.557262120117759E-3</v>
      </c>
      <c r="I469" s="6">
        <f t="shared" ref="I469:I532" si="80">SUM(F469+G469+H469)</f>
        <v>3.1811559060011728E-2</v>
      </c>
      <c r="J469" s="1">
        <f t="shared" ca="1" si="76"/>
        <v>2.2642937170615056</v>
      </c>
      <c r="K469" s="1">
        <f t="shared" ca="1" si="75"/>
        <v>7.2030713309515576E-2</v>
      </c>
    </row>
    <row r="470" spans="2:11" x14ac:dyDescent="0.25">
      <c r="D470" s="4" t="s">
        <v>25</v>
      </c>
      <c r="F470">
        <f>Definitions!G$9</f>
        <v>1.5438385315745349E-3</v>
      </c>
      <c r="G470">
        <f>Definitions!G$16</f>
        <v>2.1710458408319436E-2</v>
      </c>
      <c r="H470">
        <f>Definitions!G$26</f>
        <v>7.3226734992402288E-5</v>
      </c>
      <c r="I470" s="6">
        <f t="shared" si="80"/>
        <v>2.3327523674886372E-2</v>
      </c>
      <c r="J470" s="1">
        <f t="shared" ca="1" si="76"/>
        <v>6.3269965592500359</v>
      </c>
      <c r="K470" s="1">
        <f t="shared" ca="1" si="75"/>
        <v>0.14759316202682982</v>
      </c>
    </row>
    <row r="471" spans="2:11" x14ac:dyDescent="0.25">
      <c r="D471" s="4" t="s">
        <v>33</v>
      </c>
      <c r="F471">
        <f>Definitions!G$9</f>
        <v>1.5438385315745349E-3</v>
      </c>
      <c r="G471">
        <f>Definitions!G$16</f>
        <v>2.1710458408319436E-2</v>
      </c>
      <c r="H471">
        <f>Definitions!G$27</f>
        <v>6.266203655303857E-7</v>
      </c>
      <c r="I471" s="6">
        <f t="shared" si="80"/>
        <v>2.3254923560259499E-2</v>
      </c>
      <c r="J471" s="1">
        <f t="shared" ca="1" si="76"/>
        <v>2.3566114834269372</v>
      </c>
      <c r="K471" s="1">
        <f t="shared" ca="1" si="75"/>
        <v>5.4802819908323169E-2</v>
      </c>
    </row>
    <row r="472" spans="2:11" x14ac:dyDescent="0.25">
      <c r="D472" s="4" t="s">
        <v>34</v>
      </c>
      <c r="F472">
        <f>Definitions!G$9</f>
        <v>1.5438385315745349E-3</v>
      </c>
      <c r="G472">
        <f>Definitions!G$16</f>
        <v>2.1710458408319436E-2</v>
      </c>
      <c r="H472">
        <f>Definitions!G$28</f>
        <v>5.3621547176475137E-9</v>
      </c>
      <c r="I472" s="6">
        <f t="shared" si="80"/>
        <v>2.3254302302048686E-2</v>
      </c>
      <c r="J472" s="1">
        <f t="shared" ca="1" si="76"/>
        <v>4.9881957191704851</v>
      </c>
      <c r="K472" s="1">
        <f t="shared" ca="1" si="75"/>
        <v>0.11599701119537562</v>
      </c>
    </row>
    <row r="473" spans="2:11" x14ac:dyDescent="0.25">
      <c r="D473" s="4" t="s">
        <v>35</v>
      </c>
      <c r="F473">
        <f>Definitions!G$9</f>
        <v>1.5438385315745349E-3</v>
      </c>
      <c r="G473">
        <f>Definitions!G$16</f>
        <v>2.1710458408319436E-2</v>
      </c>
      <c r="H473">
        <f>Definitions!G$29</f>
        <v>8.557262120117759E-3</v>
      </c>
      <c r="I473" s="6">
        <f t="shared" si="80"/>
        <v>3.1811559060011728E-2</v>
      </c>
      <c r="J473" s="1">
        <f t="shared" ca="1" si="76"/>
        <v>3.3528546356080646</v>
      </c>
      <c r="K473" s="1">
        <f t="shared" ca="1" si="75"/>
        <v>0.10665953326028005</v>
      </c>
    </row>
    <row r="474" spans="2:11" x14ac:dyDescent="0.25">
      <c r="D474" s="4" t="s">
        <v>36</v>
      </c>
      <c r="F474">
        <f>Definitions!G$9</f>
        <v>1.5438385315745349E-3</v>
      </c>
      <c r="G474">
        <f>Definitions!G$16</f>
        <v>2.1710458408319436E-2</v>
      </c>
      <c r="H474">
        <f>Definitions!G$30</f>
        <v>7.3226734992402288E-5</v>
      </c>
      <c r="I474" s="6">
        <f t="shared" si="80"/>
        <v>2.3327523674886372E-2</v>
      </c>
      <c r="J474" s="1">
        <f t="shared" ca="1" si="76"/>
        <v>7.7422836721690569</v>
      </c>
      <c r="K474" s="1">
        <f t="shared" ca="1" si="75"/>
        <v>0.18060830566020988</v>
      </c>
    </row>
    <row r="475" spans="2:11" x14ac:dyDescent="0.25">
      <c r="D475" s="4" t="s">
        <v>37</v>
      </c>
      <c r="F475">
        <f>Definitions!G$9</f>
        <v>1.5438385315745349E-3</v>
      </c>
      <c r="G475">
        <f>Definitions!G$16</f>
        <v>2.1710458408319436E-2</v>
      </c>
      <c r="H475">
        <f>Definitions!G$31</f>
        <v>6.266203655303857E-7</v>
      </c>
      <c r="I475" s="6">
        <f t="shared" si="80"/>
        <v>2.3254923560259499E-2</v>
      </c>
      <c r="J475" s="1">
        <f t="shared" ca="1" si="76"/>
        <v>2.0306889836474813</v>
      </c>
      <c r="K475" s="1">
        <f t="shared" ca="1" si="75"/>
        <v>4.722351708938323E-2</v>
      </c>
    </row>
    <row r="476" spans="2:11" x14ac:dyDescent="0.25">
      <c r="D476" s="4" t="s">
        <v>38</v>
      </c>
      <c r="F476">
        <f>Definitions!G$9</f>
        <v>1.5438385315745349E-3</v>
      </c>
      <c r="G476">
        <f>Definitions!G$16</f>
        <v>2.1710458408319436E-2</v>
      </c>
      <c r="H476">
        <f>Definitions!G$32</f>
        <v>8.557262120117759E-3</v>
      </c>
      <c r="I476" s="6">
        <f t="shared" si="78"/>
        <v>3.1811559060011728E-2</v>
      </c>
      <c r="J476" s="1">
        <f t="shared" ca="1" si="76"/>
        <v>2.8425323323801268</v>
      </c>
      <c r="K476" s="1">
        <f t="shared" ca="1" si="75"/>
        <v>9.0425385171503295E-2</v>
      </c>
    </row>
    <row r="477" spans="2:11" x14ac:dyDescent="0.25">
      <c r="D477" s="4" t="s">
        <v>39</v>
      </c>
      <c r="F477">
        <f>Definitions!G$9</f>
        <v>1.5438385315745349E-3</v>
      </c>
      <c r="G477">
        <f>Definitions!G$16</f>
        <v>2.1710458408319436E-2</v>
      </c>
      <c r="H477">
        <f>Definitions!G$33</f>
        <v>7.3226734992402288E-5</v>
      </c>
      <c r="I477" s="6">
        <f t="shared" si="78"/>
        <v>2.3327523674886372E-2</v>
      </c>
      <c r="J477" s="1">
        <f t="shared" ca="1" si="76"/>
        <v>4.9346782402712845</v>
      </c>
      <c r="K477" s="1">
        <f t="shared" ca="1" si="75"/>
        <v>0.11511382347787501</v>
      </c>
    </row>
    <row r="478" spans="2:11" x14ac:dyDescent="0.25">
      <c r="D478" s="4" t="s">
        <v>40</v>
      </c>
      <c r="F478">
        <f>Definitions!G$9</f>
        <v>1.5438385315745349E-3</v>
      </c>
      <c r="G478">
        <f>Definitions!G$16</f>
        <v>2.1710458408319436E-2</v>
      </c>
      <c r="H478">
        <f>Definitions!G$34</f>
        <v>8.557262120117759E-3</v>
      </c>
      <c r="I478" s="6">
        <f t="shared" si="78"/>
        <v>3.1811559060011728E-2</v>
      </c>
      <c r="J478" s="1">
        <f t="shared" ca="1" si="76"/>
        <v>4.6159333125510269</v>
      </c>
      <c r="K478" s="1">
        <f t="shared" ca="1" si="75"/>
        <v>0.14684003518929256</v>
      </c>
    </row>
    <row r="479" spans="2:11" x14ac:dyDescent="0.25">
      <c r="B479" s="4"/>
      <c r="C479" s="4" t="s">
        <v>28</v>
      </c>
      <c r="D479" s="4" t="s">
        <v>19</v>
      </c>
      <c r="F479">
        <f>Definitions!G$9</f>
        <v>1.5438385315745349E-3</v>
      </c>
      <c r="G479">
        <f>Definitions!G$17</f>
        <v>8.4805222095781527E-4</v>
      </c>
      <c r="I479" s="6">
        <f t="shared" ref="I479" si="81">IF(1-(SUM(I480:I489))&lt;0,0,1-(SUM(I480:I489)))</f>
        <v>0.94163110518634252</v>
      </c>
      <c r="J479" s="1">
        <f t="shared" ca="1" si="76"/>
        <v>3.4225949630630828</v>
      </c>
      <c r="K479" s="1">
        <f t="shared" ca="1" si="75"/>
        <v>3.2228218776742996</v>
      </c>
    </row>
    <row r="480" spans="2:11" x14ac:dyDescent="0.25">
      <c r="D480" s="4" t="s">
        <v>32</v>
      </c>
      <c r="F480">
        <f>Definitions!G$9</f>
        <v>1.5438385315745349E-3</v>
      </c>
      <c r="G480">
        <f>Definitions!G$17</f>
        <v>8.4805222095781527E-4</v>
      </c>
      <c r="H480">
        <f>Definitions!G$25</f>
        <v>8.557262120117759E-3</v>
      </c>
      <c r="I480" s="6">
        <f t="shared" si="80"/>
        <v>1.0949152872650109E-2</v>
      </c>
      <c r="J480" s="1">
        <f t="shared" ca="1" si="76"/>
        <v>3.9947103671318041</v>
      </c>
      <c r="K480" s="1">
        <f t="shared" ca="1" si="75"/>
        <v>4.373869449168636E-2</v>
      </c>
    </row>
    <row r="481" spans="2:11" x14ac:dyDescent="0.25">
      <c r="D481" s="4" t="s">
        <v>25</v>
      </c>
      <c r="F481">
        <f>Definitions!G$9</f>
        <v>1.5438385315745349E-3</v>
      </c>
      <c r="G481">
        <f>Definitions!G$17</f>
        <v>8.4805222095781527E-4</v>
      </c>
      <c r="H481">
        <f>Definitions!G$26</f>
        <v>7.3226734992402288E-5</v>
      </c>
      <c r="I481" s="6">
        <f t="shared" si="80"/>
        <v>2.4651174875247525E-3</v>
      </c>
      <c r="J481" s="1">
        <f t="shared" ca="1" si="76"/>
        <v>-0.98477794839834409</v>
      </c>
      <c r="K481" s="1">
        <f t="shared" ca="1" si="75"/>
        <v>-2.4275933419255062E-3</v>
      </c>
    </row>
    <row r="482" spans="2:11" x14ac:dyDescent="0.25">
      <c r="D482" s="4" t="s">
        <v>33</v>
      </c>
      <c r="F482">
        <f>Definitions!G$9</f>
        <v>1.5438385315745349E-3</v>
      </c>
      <c r="G482">
        <f>Definitions!G$17</f>
        <v>8.4805222095781527E-4</v>
      </c>
      <c r="H482">
        <f>Definitions!G$27</f>
        <v>6.266203655303857E-7</v>
      </c>
      <c r="I482" s="6">
        <f t="shared" si="80"/>
        <v>2.3925173728978804E-3</v>
      </c>
      <c r="J482" s="1">
        <f t="shared" ca="1" si="76"/>
        <v>3.2474212132436158</v>
      </c>
      <c r="K482" s="1">
        <f t="shared" ca="1" si="75"/>
        <v>7.7695116698024633E-3</v>
      </c>
    </row>
    <row r="483" spans="2:11" x14ac:dyDescent="0.25">
      <c r="D483" s="4" t="s">
        <v>34</v>
      </c>
      <c r="F483">
        <f>Definitions!G$9</f>
        <v>1.5438385315745349E-3</v>
      </c>
      <c r="G483">
        <f>Definitions!G$17</f>
        <v>8.4805222095781527E-4</v>
      </c>
      <c r="H483">
        <f>Definitions!G$28</f>
        <v>5.3621547176475137E-9</v>
      </c>
      <c r="I483" s="6">
        <f t="shared" si="80"/>
        <v>2.3918961146870677E-3</v>
      </c>
      <c r="J483" s="1">
        <f t="shared" ca="1" si="76"/>
        <v>2.976090126405198</v>
      </c>
      <c r="K483" s="1">
        <f t="shared" ca="1" si="75"/>
        <v>7.1184984103071372E-3</v>
      </c>
    </row>
    <row r="484" spans="2:11" x14ac:dyDescent="0.25">
      <c r="D484" s="4" t="s">
        <v>35</v>
      </c>
      <c r="F484">
        <f>Definitions!G$9</f>
        <v>1.5438385315745349E-3</v>
      </c>
      <c r="G484">
        <f>Definitions!G$17</f>
        <v>8.4805222095781527E-4</v>
      </c>
      <c r="H484">
        <f>Definitions!G$29</f>
        <v>8.557262120117759E-3</v>
      </c>
      <c r="I484" s="6">
        <f t="shared" si="80"/>
        <v>1.0949152872650109E-2</v>
      </c>
      <c r="J484" s="1">
        <f t="shared" ca="1" si="76"/>
        <v>5.5571354696799773</v>
      </c>
      <c r="K484" s="1">
        <f t="shared" ca="1" si="75"/>
        <v>6.0845925791552333E-2</v>
      </c>
    </row>
    <row r="485" spans="2:11" x14ac:dyDescent="0.25">
      <c r="D485" s="4" t="s">
        <v>36</v>
      </c>
      <c r="F485">
        <f>Definitions!G$9</f>
        <v>1.5438385315745349E-3</v>
      </c>
      <c r="G485">
        <f>Definitions!G$17</f>
        <v>8.4805222095781527E-4</v>
      </c>
      <c r="H485">
        <f>Definitions!G$30</f>
        <v>7.3226734992402288E-5</v>
      </c>
      <c r="I485" s="6">
        <f t="shared" si="80"/>
        <v>2.4651174875247525E-3</v>
      </c>
      <c r="J485" s="1">
        <f t="shared" ca="1" si="76"/>
        <v>7.4158166897452205</v>
      </c>
      <c r="K485" s="1">
        <f t="shared" ca="1" si="75"/>
        <v>1.8280859406168866E-2</v>
      </c>
    </row>
    <row r="486" spans="2:11" x14ac:dyDescent="0.25">
      <c r="D486" s="4" t="s">
        <v>37</v>
      </c>
      <c r="F486">
        <f>Definitions!G$9</f>
        <v>1.5438385315745349E-3</v>
      </c>
      <c r="G486">
        <f>Definitions!G$17</f>
        <v>8.4805222095781527E-4</v>
      </c>
      <c r="H486">
        <f>Definitions!G$31</f>
        <v>6.266203655303857E-7</v>
      </c>
      <c r="I486" s="6">
        <f t="shared" si="80"/>
        <v>2.3925173728978804E-3</v>
      </c>
      <c r="J486" s="1">
        <f t="shared" ca="1" si="76"/>
        <v>2.1285793815622531</v>
      </c>
      <c r="K486" s="1">
        <f t="shared" ca="1" si="75"/>
        <v>5.0926631499799164E-3</v>
      </c>
    </row>
    <row r="487" spans="2:11" x14ac:dyDescent="0.25">
      <c r="D487" s="4" t="s">
        <v>38</v>
      </c>
      <c r="F487">
        <f>Definitions!G$9</f>
        <v>1.5438385315745349E-3</v>
      </c>
      <c r="G487">
        <f>Definitions!G$17</f>
        <v>8.4805222095781527E-4</v>
      </c>
      <c r="H487">
        <f>Definitions!G$32</f>
        <v>8.557262120117759E-3</v>
      </c>
      <c r="I487" s="6">
        <f t="shared" si="78"/>
        <v>1.0949152872650109E-2</v>
      </c>
      <c r="J487" s="1">
        <f t="shared" ca="1" si="76"/>
        <v>9.3899940152248682</v>
      </c>
      <c r="K487" s="1">
        <f t="shared" ca="1" si="75"/>
        <v>0.10281247994596669</v>
      </c>
    </row>
    <row r="488" spans="2:11" x14ac:dyDescent="0.25">
      <c r="D488" s="4" t="s">
        <v>39</v>
      </c>
      <c r="F488">
        <f>Definitions!G$9</f>
        <v>1.5438385315745349E-3</v>
      </c>
      <c r="G488">
        <f>Definitions!G$17</f>
        <v>8.4805222095781527E-4</v>
      </c>
      <c r="H488">
        <f>Definitions!G$33</f>
        <v>7.3226734992402288E-5</v>
      </c>
      <c r="I488" s="6">
        <f t="shared" si="78"/>
        <v>2.4651174875247525E-3</v>
      </c>
      <c r="J488" s="1">
        <f t="shared" ca="1" si="76"/>
        <v>0.49235118825723756</v>
      </c>
      <c r="K488" s="1">
        <f t="shared" ca="1" si="75"/>
        <v>1.213703524176508E-3</v>
      </c>
    </row>
    <row r="489" spans="2:11" x14ac:dyDescent="0.25">
      <c r="D489" s="4" t="s">
        <v>40</v>
      </c>
      <c r="F489">
        <f>Definitions!G$9</f>
        <v>1.5438385315745349E-3</v>
      </c>
      <c r="G489">
        <f>Definitions!G$17</f>
        <v>8.4805222095781527E-4</v>
      </c>
      <c r="H489">
        <f>Definitions!G$34</f>
        <v>8.557262120117759E-3</v>
      </c>
      <c r="I489" s="6">
        <f t="shared" si="78"/>
        <v>1.0949152872650109E-2</v>
      </c>
      <c r="J489" s="1">
        <f t="shared" ca="1" si="76"/>
        <v>7.0458634284619635</v>
      </c>
      <c r="K489" s="1">
        <f t="shared" ca="1" si="75"/>
        <v>7.7146235798044652E-2</v>
      </c>
    </row>
    <row r="490" spans="2:11" x14ac:dyDescent="0.25">
      <c r="B490" s="4"/>
      <c r="C490" s="4" t="s">
        <v>29</v>
      </c>
      <c r="D490" s="4" t="s">
        <v>19</v>
      </c>
      <c r="F490">
        <f>Definitions!G$9</f>
        <v>1.5438385315745349E-3</v>
      </c>
      <c r="G490">
        <f>Definitions!G$18</f>
        <v>0.14734469250135696</v>
      </c>
      <c r="I490" s="6">
        <f t="shared" ref="I490" si="82">IF(1-(SUM(I491:I500))&lt;0,0,1-(SUM(I491:I500)))</f>
        <v>0</v>
      </c>
      <c r="J490" s="1">
        <f t="shared" ca="1" si="76"/>
        <v>2.8547059622999535</v>
      </c>
      <c r="K490" s="1">
        <f t="shared" ca="1" si="75"/>
        <v>0</v>
      </c>
    </row>
    <row r="491" spans="2:11" x14ac:dyDescent="0.25">
      <c r="D491" s="4" t="s">
        <v>32</v>
      </c>
      <c r="F491">
        <f>Definitions!G$9</f>
        <v>1.5438385315745349E-3</v>
      </c>
      <c r="G491">
        <f>Definitions!G$18</f>
        <v>0.14734469250135696</v>
      </c>
      <c r="H491">
        <f>Definitions!G$25</f>
        <v>8.557262120117759E-3</v>
      </c>
      <c r="I491" s="6">
        <f t="shared" si="80"/>
        <v>0.15744579315304924</v>
      </c>
      <c r="J491" s="1">
        <f t="shared" ca="1" si="76"/>
        <v>5.037917745129791</v>
      </c>
      <c r="K491" s="1">
        <f t="shared" ca="1" si="75"/>
        <v>0.7931989552217813</v>
      </c>
    </row>
    <row r="492" spans="2:11" x14ac:dyDescent="0.25">
      <c r="D492" s="4" t="s">
        <v>25</v>
      </c>
      <c r="F492">
        <f>Definitions!G$9</f>
        <v>1.5438385315745349E-3</v>
      </c>
      <c r="G492">
        <f>Definitions!G$18</f>
        <v>0.14734469250135696</v>
      </c>
      <c r="H492">
        <f>Definitions!G$26</f>
        <v>7.3226734992402288E-5</v>
      </c>
      <c r="I492" s="6">
        <f t="shared" si="80"/>
        <v>0.14896175776792389</v>
      </c>
      <c r="J492" s="1">
        <f t="shared" ca="1" si="76"/>
        <v>7.0663177002049444</v>
      </c>
      <c r="K492" s="1">
        <f t="shared" ca="1" si="75"/>
        <v>1.0526111055691221</v>
      </c>
    </row>
    <row r="493" spans="2:11" x14ac:dyDescent="0.25">
      <c r="D493" s="4" t="s">
        <v>33</v>
      </c>
      <c r="F493">
        <f>Definitions!G$9</f>
        <v>1.5438385315745349E-3</v>
      </c>
      <c r="G493">
        <f>Definitions!G$18</f>
        <v>0.14734469250135696</v>
      </c>
      <c r="H493">
        <f>Definitions!G$27</f>
        <v>6.266203655303857E-7</v>
      </c>
      <c r="I493" s="6">
        <f t="shared" si="80"/>
        <v>0.14888915765329702</v>
      </c>
      <c r="J493" s="1">
        <f t="shared" ca="1" si="76"/>
        <v>6.5838872190696858</v>
      </c>
      <c r="K493" s="1">
        <f t="shared" ca="1" si="75"/>
        <v>0.98026942213159374</v>
      </c>
    </row>
    <row r="494" spans="2:11" x14ac:dyDescent="0.25">
      <c r="D494" s="4" t="s">
        <v>34</v>
      </c>
      <c r="F494">
        <f>Definitions!G$9</f>
        <v>1.5438385315745349E-3</v>
      </c>
      <c r="G494">
        <f>Definitions!G$18</f>
        <v>0.14734469250135696</v>
      </c>
      <c r="H494">
        <f>Definitions!G$28</f>
        <v>5.3621547176475137E-9</v>
      </c>
      <c r="I494" s="6">
        <f t="shared" si="80"/>
        <v>0.1488885363950862</v>
      </c>
      <c r="J494" s="1">
        <f t="shared" ca="1" si="76"/>
        <v>2.6666276596224385</v>
      </c>
      <c r="K494" s="1">
        <f t="shared" ca="1" si="75"/>
        <v>0.39703028935183898</v>
      </c>
    </row>
    <row r="495" spans="2:11" x14ac:dyDescent="0.25">
      <c r="D495" s="4" t="s">
        <v>35</v>
      </c>
      <c r="F495">
        <f>Definitions!G$9</f>
        <v>1.5438385315745349E-3</v>
      </c>
      <c r="G495">
        <f>Definitions!G$18</f>
        <v>0.14734469250135696</v>
      </c>
      <c r="H495">
        <f>Definitions!G$29</f>
        <v>8.557262120117759E-3</v>
      </c>
      <c r="I495" s="6">
        <f t="shared" si="80"/>
        <v>0.15744579315304924</v>
      </c>
      <c r="J495" s="1">
        <f t="shared" ca="1" si="76"/>
        <v>6.2406221209945327</v>
      </c>
      <c r="K495" s="1">
        <f t="shared" ca="1" si="75"/>
        <v>0.98255969960844858</v>
      </c>
    </row>
    <row r="496" spans="2:11" x14ac:dyDescent="0.25">
      <c r="D496" s="4" t="s">
        <v>36</v>
      </c>
      <c r="F496">
        <f>Definitions!G$9</f>
        <v>1.5438385315745349E-3</v>
      </c>
      <c r="G496">
        <f>Definitions!G$18</f>
        <v>0.14734469250135696</v>
      </c>
      <c r="H496">
        <f>Definitions!G$30</f>
        <v>7.3226734992402288E-5</v>
      </c>
      <c r="I496" s="6">
        <f t="shared" si="80"/>
        <v>0.14896175776792389</v>
      </c>
      <c r="J496" s="1">
        <f t="shared" ca="1" si="76"/>
        <v>3.4946328311728059</v>
      </c>
      <c r="K496" s="1">
        <f t="shared" ca="1" si="75"/>
        <v>0.52056664928499763</v>
      </c>
    </row>
    <row r="497" spans="2:11" x14ac:dyDescent="0.25">
      <c r="D497" s="4" t="s">
        <v>37</v>
      </c>
      <c r="F497">
        <f>Definitions!G$9</f>
        <v>1.5438385315745349E-3</v>
      </c>
      <c r="G497">
        <f>Definitions!G$18</f>
        <v>0.14734469250135696</v>
      </c>
      <c r="H497">
        <f>Definitions!G$31</f>
        <v>6.266203655303857E-7</v>
      </c>
      <c r="I497" s="6">
        <f t="shared" si="80"/>
        <v>0.14888915765329702</v>
      </c>
      <c r="J497" s="1">
        <f t="shared" ca="1" si="76"/>
        <v>4.4691904669595592</v>
      </c>
      <c r="K497" s="1">
        <f t="shared" ca="1" si="75"/>
        <v>0.66541400401775397</v>
      </c>
    </row>
    <row r="498" spans="2:11" x14ac:dyDescent="0.25">
      <c r="D498" s="4" t="s">
        <v>38</v>
      </c>
      <c r="F498">
        <f>Definitions!G$9</f>
        <v>1.5438385315745349E-3</v>
      </c>
      <c r="G498">
        <f>Definitions!G$18</f>
        <v>0.14734469250135696</v>
      </c>
      <c r="H498">
        <f>Definitions!G$32</f>
        <v>8.557262120117759E-3</v>
      </c>
      <c r="I498" s="6">
        <f t="shared" si="78"/>
        <v>0.15744579315304924</v>
      </c>
      <c r="J498" s="1">
        <f t="shared" ca="1" si="76"/>
        <v>4.549186750769179</v>
      </c>
      <c r="K498" s="1">
        <f t="shared" ca="1" si="75"/>
        <v>0.71625031617619628</v>
      </c>
    </row>
    <row r="499" spans="2:11" x14ac:dyDescent="0.25">
      <c r="D499" s="4" t="s">
        <v>39</v>
      </c>
      <c r="F499">
        <f>Definitions!G$9</f>
        <v>1.5438385315745349E-3</v>
      </c>
      <c r="G499">
        <f>Definitions!G$18</f>
        <v>0.14734469250135696</v>
      </c>
      <c r="H499">
        <f>Definitions!G$33</f>
        <v>7.3226734992402288E-5</v>
      </c>
      <c r="I499" s="6">
        <f t="shared" si="78"/>
        <v>0.14896175776792389</v>
      </c>
      <c r="J499" s="1">
        <f t="shared" ca="1" si="76"/>
        <v>4.5349634449398044</v>
      </c>
      <c r="K499" s="1">
        <f t="shared" ca="1" si="75"/>
        <v>0.67553612617151282</v>
      </c>
    </row>
    <row r="500" spans="2:11" x14ac:dyDescent="0.25">
      <c r="D500" s="4" t="s">
        <v>40</v>
      </c>
      <c r="F500">
        <f>Definitions!G$9</f>
        <v>1.5438385315745349E-3</v>
      </c>
      <c r="G500">
        <f>Definitions!G$18</f>
        <v>0.14734469250135696</v>
      </c>
      <c r="H500">
        <f>Definitions!G$34</f>
        <v>8.557262120117759E-3</v>
      </c>
      <c r="I500" s="6">
        <f t="shared" si="78"/>
        <v>0.15744579315304924</v>
      </c>
      <c r="J500" s="1">
        <f t="shared" ca="1" si="76"/>
        <v>-0.54562482530874412</v>
      </c>
      <c r="K500" s="1">
        <f t="shared" ca="1" si="75"/>
        <v>-8.5906333384729153E-2</v>
      </c>
    </row>
    <row r="501" spans="2:11" x14ac:dyDescent="0.25">
      <c r="B501" s="4"/>
      <c r="C501" s="4" t="s">
        <v>30</v>
      </c>
      <c r="D501" s="4" t="s">
        <v>19</v>
      </c>
      <c r="F501">
        <f>Definitions!G$9</f>
        <v>1.5438385315745349E-3</v>
      </c>
      <c r="G501">
        <f>Definitions!G$18</f>
        <v>0.14734469250135696</v>
      </c>
      <c r="I501" s="6">
        <f t="shared" ref="I501" si="83">IF(1-(SUM(I502:I511))&lt;0,0,1-(SUM(I502:I511)))</f>
        <v>0.89255595935243104</v>
      </c>
      <c r="J501" s="1">
        <f t="shared" ca="1" si="76"/>
        <v>4.7033668071943087</v>
      </c>
      <c r="K501" s="1">
        <f t="shared" ca="1" si="75"/>
        <v>4.1980180727816965</v>
      </c>
    </row>
    <row r="502" spans="2:11" x14ac:dyDescent="0.25">
      <c r="D502" s="4" t="s">
        <v>32</v>
      </c>
      <c r="F502">
        <f>Definitions!G$9</f>
        <v>1.5438385315745349E-3</v>
      </c>
      <c r="G502">
        <f>Definitions!G$19</f>
        <v>5.75556680434896E-3</v>
      </c>
      <c r="H502">
        <f>Definitions!G$25</f>
        <v>8.557262120117759E-3</v>
      </c>
      <c r="I502" s="6">
        <f t="shared" si="80"/>
        <v>1.5856667456041255E-2</v>
      </c>
      <c r="J502" s="1">
        <f t="shared" ca="1" si="76"/>
        <v>3.0654722745001943</v>
      </c>
      <c r="K502" s="1">
        <f t="shared" ca="1" si="75"/>
        <v>4.8608174452463994E-2</v>
      </c>
    </row>
    <row r="503" spans="2:11" x14ac:dyDescent="0.25">
      <c r="D503" s="4" t="s">
        <v>25</v>
      </c>
      <c r="F503">
        <f>Definitions!G$9</f>
        <v>1.5438385315745349E-3</v>
      </c>
      <c r="G503">
        <f>Definitions!G$19</f>
        <v>5.75556680434896E-3</v>
      </c>
      <c r="H503">
        <f>Definitions!G$26</f>
        <v>7.3226734992402288E-5</v>
      </c>
      <c r="I503" s="6">
        <f t="shared" si="80"/>
        <v>7.3726320709158969E-3</v>
      </c>
      <c r="J503" s="1">
        <f t="shared" ca="1" si="76"/>
        <v>6.9586952148006391</v>
      </c>
      <c r="K503" s="1">
        <f t="shared" ca="1" si="75"/>
        <v>5.1303899512368176E-2</v>
      </c>
    </row>
    <row r="504" spans="2:11" x14ac:dyDescent="0.25">
      <c r="D504" s="4" t="s">
        <v>33</v>
      </c>
      <c r="F504">
        <f>Definitions!G$9</f>
        <v>1.5438385315745349E-3</v>
      </c>
      <c r="G504">
        <f>Definitions!G$19</f>
        <v>5.75556680434896E-3</v>
      </c>
      <c r="H504">
        <f>Definitions!G$27</f>
        <v>6.266203655303857E-7</v>
      </c>
      <c r="I504" s="6">
        <f t="shared" si="80"/>
        <v>7.3000319562890256E-3</v>
      </c>
      <c r="J504" s="1">
        <f t="shared" ca="1" si="76"/>
        <v>4.4771713476908381</v>
      </c>
      <c r="K504" s="1">
        <f t="shared" ca="1" si="75"/>
        <v>3.2683493911924724E-2</v>
      </c>
    </row>
    <row r="505" spans="2:11" x14ac:dyDescent="0.25">
      <c r="D505" s="4" t="s">
        <v>34</v>
      </c>
      <c r="F505">
        <f>Definitions!G$9</f>
        <v>1.5438385315745349E-3</v>
      </c>
      <c r="G505">
        <f>Definitions!G$19</f>
        <v>5.75556680434896E-3</v>
      </c>
      <c r="H505">
        <f>Definitions!G$28</f>
        <v>5.3621547176475137E-9</v>
      </c>
      <c r="I505" s="6">
        <f t="shared" si="80"/>
        <v>7.2994106980782125E-3</v>
      </c>
      <c r="J505" s="1">
        <f t="shared" ca="1" si="76"/>
        <v>5.5170390972867365</v>
      </c>
      <c r="K505" s="1">
        <f t="shared" ca="1" si="75"/>
        <v>4.0271134208450569E-2</v>
      </c>
    </row>
    <row r="506" spans="2:11" x14ac:dyDescent="0.25">
      <c r="D506" s="4" t="s">
        <v>35</v>
      </c>
      <c r="F506">
        <f>Definitions!G$9</f>
        <v>1.5438385315745349E-3</v>
      </c>
      <c r="G506">
        <f>Definitions!G$19</f>
        <v>5.75556680434896E-3</v>
      </c>
      <c r="H506">
        <f>Definitions!G$29</f>
        <v>8.557262120117759E-3</v>
      </c>
      <c r="I506" s="6">
        <f t="shared" si="80"/>
        <v>1.5856667456041255E-2</v>
      </c>
      <c r="J506" s="1">
        <f t="shared" ca="1" si="76"/>
        <v>8.3057629368939647</v>
      </c>
      <c r="K506" s="1">
        <f t="shared" ca="1" si="75"/>
        <v>0.13170172085904017</v>
      </c>
    </row>
    <row r="507" spans="2:11" x14ac:dyDescent="0.25">
      <c r="D507" s="4" t="s">
        <v>36</v>
      </c>
      <c r="F507">
        <f>Definitions!G$9</f>
        <v>1.5438385315745349E-3</v>
      </c>
      <c r="G507">
        <f>Definitions!G$19</f>
        <v>5.75556680434896E-3</v>
      </c>
      <c r="H507">
        <f>Definitions!G$30</f>
        <v>7.3226734992402288E-5</v>
      </c>
      <c r="I507" s="6">
        <f t="shared" si="80"/>
        <v>7.3726320709158969E-3</v>
      </c>
      <c r="J507" s="1">
        <f t="shared" ca="1" si="76"/>
        <v>3.5441867386047776</v>
      </c>
      <c r="K507" s="1">
        <f t="shared" ca="1" si="75"/>
        <v>2.61299848143524E-2</v>
      </c>
    </row>
    <row r="508" spans="2:11" x14ac:dyDescent="0.25">
      <c r="D508" s="4" t="s">
        <v>37</v>
      </c>
      <c r="F508">
        <f>Definitions!G$9</f>
        <v>1.5438385315745349E-3</v>
      </c>
      <c r="G508">
        <f>Definitions!G$19</f>
        <v>5.75556680434896E-3</v>
      </c>
      <c r="H508">
        <f>Definitions!G$31</f>
        <v>6.266203655303857E-7</v>
      </c>
      <c r="I508" s="6">
        <f t="shared" si="80"/>
        <v>7.3000319562890256E-3</v>
      </c>
      <c r="J508" s="1">
        <f t="shared" ca="1" si="76"/>
        <v>3.3634156699908093</v>
      </c>
      <c r="K508" s="1">
        <f t="shared" ca="1" si="75"/>
        <v>2.4553041873216171E-2</v>
      </c>
    </row>
    <row r="509" spans="2:11" x14ac:dyDescent="0.25">
      <c r="D509" s="4" t="s">
        <v>38</v>
      </c>
      <c r="F509">
        <f>Definitions!G$9</f>
        <v>1.5438385315745349E-3</v>
      </c>
      <c r="G509">
        <f>Definitions!G$19</f>
        <v>5.75556680434896E-3</v>
      </c>
      <c r="H509">
        <f>Definitions!G$32</f>
        <v>8.557262120117759E-3</v>
      </c>
      <c r="I509" s="6">
        <f t="shared" si="78"/>
        <v>1.5856667456041255E-2</v>
      </c>
      <c r="J509" s="1">
        <f t="shared" ca="1" si="76"/>
        <v>4.5178834092416738</v>
      </c>
      <c r="K509" s="1">
        <f t="shared" ca="1" si="75"/>
        <v>7.1638574825511156E-2</v>
      </c>
    </row>
    <row r="510" spans="2:11" x14ac:dyDescent="0.25">
      <c r="D510" s="4" t="s">
        <v>39</v>
      </c>
      <c r="F510">
        <f>Definitions!G$9</f>
        <v>1.5438385315745349E-3</v>
      </c>
      <c r="G510">
        <f>Definitions!G$19</f>
        <v>5.75556680434896E-3</v>
      </c>
      <c r="H510">
        <f>Definitions!G$33</f>
        <v>7.3226734992402288E-5</v>
      </c>
      <c r="I510" s="6">
        <f t="shared" si="78"/>
        <v>7.3726320709158969E-3</v>
      </c>
      <c r="J510" s="1">
        <f t="shared" ca="1" si="76"/>
        <v>0.99949523486262759</v>
      </c>
      <c r="K510" s="1">
        <f t="shared" ref="K510:K573" ca="1" si="84">I510*J510</f>
        <v>7.3689106232758244E-3</v>
      </c>
    </row>
    <row r="511" spans="2:11" x14ac:dyDescent="0.25">
      <c r="D511" s="4" t="s">
        <v>40</v>
      </c>
      <c r="F511">
        <f>Definitions!G$9</f>
        <v>1.5438385315745349E-3</v>
      </c>
      <c r="G511">
        <f>Definitions!G$19</f>
        <v>5.75556680434896E-3</v>
      </c>
      <c r="H511">
        <f>Definitions!G$34</f>
        <v>8.557262120117759E-3</v>
      </c>
      <c r="I511" s="6">
        <f t="shared" si="78"/>
        <v>1.5856667456041255E-2</v>
      </c>
      <c r="J511" s="1">
        <f t="shared" ref="J511:J574" ca="1" si="85">_xlfn.NORM.INV(RAND(),4,2)</f>
        <v>4.3626764231958477</v>
      </c>
      <c r="K511" s="1">
        <f t="shared" ca="1" si="84"/>
        <v>6.9177509260928069E-2</v>
      </c>
    </row>
    <row r="512" spans="2:11" x14ac:dyDescent="0.25">
      <c r="B512" s="4"/>
      <c r="C512" s="4" t="s">
        <v>31</v>
      </c>
      <c r="D512" s="4" t="s">
        <v>19</v>
      </c>
      <c r="F512">
        <f>Definitions!G$9</f>
        <v>1.5438385315745349E-3</v>
      </c>
      <c r="G512">
        <f>Definitions!G$19</f>
        <v>5.75556680434896E-3</v>
      </c>
      <c r="I512" s="6">
        <f t="shared" ref="I512" si="86">IF(1-(SUM(I513:I522))&lt;0,0,1-(SUM(I513:I522)))</f>
        <v>0.55949241291040708</v>
      </c>
      <c r="J512" s="1">
        <f t="shared" ca="1" si="85"/>
        <v>6.3760473950281629</v>
      </c>
      <c r="K512" s="1">
        <f t="shared" ca="1" si="84"/>
        <v>3.5673501418754223</v>
      </c>
    </row>
    <row r="513" spans="2:11" x14ac:dyDescent="0.25">
      <c r="D513" s="4" t="s">
        <v>32</v>
      </c>
      <c r="F513">
        <f>Definitions!G$9</f>
        <v>1.5438385315745349E-3</v>
      </c>
      <c r="G513">
        <f>Definitions!G$20</f>
        <v>3.9061921448551362E-2</v>
      </c>
      <c r="H513">
        <f>Definitions!G$25</f>
        <v>8.557262120117759E-3</v>
      </c>
      <c r="I513" s="6">
        <f t="shared" si="80"/>
        <v>4.9163022100243654E-2</v>
      </c>
      <c r="J513" s="1">
        <f t="shared" ca="1" si="85"/>
        <v>6.6956594479369489</v>
      </c>
      <c r="K513" s="1">
        <f t="shared" ca="1" si="84"/>
        <v>0.32917885341462944</v>
      </c>
    </row>
    <row r="514" spans="2:11" x14ac:dyDescent="0.25">
      <c r="D514" s="4" t="s">
        <v>25</v>
      </c>
      <c r="F514">
        <f>Definitions!G$9</f>
        <v>1.5438385315745349E-3</v>
      </c>
      <c r="G514">
        <f>Definitions!G$20</f>
        <v>3.9061921448551362E-2</v>
      </c>
      <c r="H514">
        <f>Definitions!G$26</f>
        <v>7.3226734992402288E-5</v>
      </c>
      <c r="I514" s="6">
        <f t="shared" si="80"/>
        <v>4.0678986715118298E-2</v>
      </c>
      <c r="J514" s="1">
        <f t="shared" ca="1" si="85"/>
        <v>1.3389104270199992</v>
      </c>
      <c r="K514" s="1">
        <f t="shared" ca="1" si="84"/>
        <v>5.4465519473479912E-2</v>
      </c>
    </row>
    <row r="515" spans="2:11" x14ac:dyDescent="0.25">
      <c r="D515" s="4" t="s">
        <v>33</v>
      </c>
      <c r="F515">
        <f>Definitions!G$9</f>
        <v>1.5438385315745349E-3</v>
      </c>
      <c r="G515">
        <f>Definitions!G$20</f>
        <v>3.9061921448551362E-2</v>
      </c>
      <c r="H515">
        <f>Definitions!G$27</f>
        <v>6.266203655303857E-7</v>
      </c>
      <c r="I515" s="6">
        <f t="shared" si="80"/>
        <v>4.0606386600491429E-2</v>
      </c>
      <c r="J515" s="1">
        <f t="shared" ca="1" si="85"/>
        <v>2.1713270252639019</v>
      </c>
      <c r="K515" s="1">
        <f t="shared" ca="1" si="84"/>
        <v>8.8169744623961016E-2</v>
      </c>
    </row>
    <row r="516" spans="2:11" x14ac:dyDescent="0.25">
      <c r="D516" s="4" t="s">
        <v>34</v>
      </c>
      <c r="F516">
        <f>Definitions!G$9</f>
        <v>1.5438385315745349E-3</v>
      </c>
      <c r="G516">
        <f>Definitions!G$20</f>
        <v>3.9061921448551362E-2</v>
      </c>
      <c r="H516">
        <f>Definitions!G$28</f>
        <v>5.3621547176475137E-9</v>
      </c>
      <c r="I516" s="6">
        <f t="shared" si="80"/>
        <v>4.0605765342280616E-2</v>
      </c>
      <c r="J516" s="1">
        <f t="shared" ca="1" si="85"/>
        <v>5.5224261447766736</v>
      </c>
      <c r="K516" s="1">
        <f t="shared" ca="1" si="84"/>
        <v>0.22424234015487701</v>
      </c>
    </row>
    <row r="517" spans="2:11" x14ac:dyDescent="0.25">
      <c r="D517" s="4" t="s">
        <v>35</v>
      </c>
      <c r="F517">
        <f>Definitions!G$9</f>
        <v>1.5438385315745349E-3</v>
      </c>
      <c r="G517">
        <f>Definitions!G$20</f>
        <v>3.9061921448551362E-2</v>
      </c>
      <c r="H517">
        <f>Definitions!G$29</f>
        <v>8.557262120117759E-3</v>
      </c>
      <c r="I517" s="6">
        <f t="shared" si="80"/>
        <v>4.9163022100243654E-2</v>
      </c>
      <c r="J517" s="1">
        <f t="shared" ca="1" si="85"/>
        <v>4.9504007508188694</v>
      </c>
      <c r="K517" s="1">
        <f t="shared" ca="1" si="84"/>
        <v>0.24337666151757087</v>
      </c>
    </row>
    <row r="518" spans="2:11" x14ac:dyDescent="0.25">
      <c r="D518" s="4" t="s">
        <v>36</v>
      </c>
      <c r="F518">
        <f>Definitions!G$9</f>
        <v>1.5438385315745349E-3</v>
      </c>
      <c r="G518">
        <f>Definitions!G$20</f>
        <v>3.9061921448551362E-2</v>
      </c>
      <c r="H518">
        <f>Definitions!G$30</f>
        <v>7.3226734992402288E-5</v>
      </c>
      <c r="I518" s="6">
        <f t="shared" si="80"/>
        <v>4.0678986715118298E-2</v>
      </c>
      <c r="J518" s="1">
        <f t="shared" ca="1" si="85"/>
        <v>1.8488523993735462</v>
      </c>
      <c r="K518" s="1">
        <f t="shared" ca="1" si="84"/>
        <v>7.5209442192331069E-2</v>
      </c>
    </row>
    <row r="519" spans="2:11" x14ac:dyDescent="0.25">
      <c r="D519" s="4" t="s">
        <v>37</v>
      </c>
      <c r="F519">
        <f>Definitions!G$9</f>
        <v>1.5438385315745349E-3</v>
      </c>
      <c r="G519">
        <f>Definitions!G$20</f>
        <v>3.9061921448551362E-2</v>
      </c>
      <c r="H519">
        <f>Definitions!G$31</f>
        <v>6.266203655303857E-7</v>
      </c>
      <c r="I519" s="6">
        <f t="shared" si="80"/>
        <v>4.0606386600491429E-2</v>
      </c>
      <c r="J519" s="1">
        <f t="shared" ca="1" si="85"/>
        <v>3.8826610159980048</v>
      </c>
      <c r="K519" s="1">
        <f t="shared" ca="1" si="84"/>
        <v>0.15766083425427183</v>
      </c>
    </row>
    <row r="520" spans="2:11" x14ac:dyDescent="0.25">
      <c r="D520" s="4" t="s">
        <v>38</v>
      </c>
      <c r="F520">
        <f>Definitions!G$9</f>
        <v>1.5438385315745349E-3</v>
      </c>
      <c r="G520">
        <f>Definitions!G$20</f>
        <v>3.9061921448551362E-2</v>
      </c>
      <c r="H520">
        <f>Definitions!G$32</f>
        <v>8.557262120117759E-3</v>
      </c>
      <c r="I520" s="6">
        <f t="shared" si="78"/>
        <v>4.9163022100243654E-2</v>
      </c>
      <c r="J520" s="1">
        <f t="shared" ca="1" si="85"/>
        <v>5.9915345411682281</v>
      </c>
      <c r="K520" s="1">
        <f t="shared" ca="1" si="84"/>
        <v>0.29456194506182681</v>
      </c>
    </row>
    <row r="521" spans="2:11" x14ac:dyDescent="0.25">
      <c r="D521" s="4" t="s">
        <v>39</v>
      </c>
      <c r="F521">
        <f>Definitions!G$9</f>
        <v>1.5438385315745349E-3</v>
      </c>
      <c r="G521">
        <f>Definitions!G$20</f>
        <v>3.9061921448551362E-2</v>
      </c>
      <c r="H521">
        <f>Definitions!G$33</f>
        <v>7.3226734992402288E-5</v>
      </c>
      <c r="I521" s="6">
        <f t="shared" si="78"/>
        <v>4.0678986715118298E-2</v>
      </c>
      <c r="J521" s="1">
        <f t="shared" ca="1" si="85"/>
        <v>0.99441946201813858</v>
      </c>
      <c r="K521" s="1">
        <f t="shared" ca="1" si="84"/>
        <v>4.0451976084690942E-2</v>
      </c>
    </row>
    <row r="522" spans="2:11" x14ac:dyDescent="0.25">
      <c r="D522" s="4" t="s">
        <v>40</v>
      </c>
      <c r="F522">
        <f>Definitions!G$9</f>
        <v>1.5438385315745349E-3</v>
      </c>
      <c r="G522">
        <f>Definitions!G$20</f>
        <v>3.9061921448551362E-2</v>
      </c>
      <c r="H522">
        <f>Definitions!G$34</f>
        <v>8.557262120117759E-3</v>
      </c>
      <c r="I522" s="6">
        <f t="shared" si="78"/>
        <v>4.9163022100243654E-2</v>
      </c>
      <c r="J522" s="1">
        <f t="shared" ca="1" si="85"/>
        <v>7.3327911416804694</v>
      </c>
      <c r="K522" s="1">
        <f t="shared" ca="1" si="84"/>
        <v>0.36050217295490783</v>
      </c>
    </row>
    <row r="523" spans="2:11" x14ac:dyDescent="0.25">
      <c r="B523" s="4" t="s">
        <v>24</v>
      </c>
      <c r="C523" s="4" t="s">
        <v>18</v>
      </c>
      <c r="D523" s="4" t="s">
        <v>19</v>
      </c>
      <c r="F523">
        <f>Definitions!G$10</f>
        <v>1.0201613296215051E-2</v>
      </c>
      <c r="I523" s="6">
        <f t="shared" ref="I523" si="87">IF(1-(SUM(I524:I533))&lt;0,0,1-(SUM(I524:I533)))</f>
        <v>0.86353387974951545</v>
      </c>
      <c r="J523" s="1">
        <f t="shared" ca="1" si="85"/>
        <v>3.2595902434019592</v>
      </c>
      <c r="K523" s="1">
        <f t="shared" ca="1" si="84"/>
        <v>2.8147666092785615</v>
      </c>
    </row>
    <row r="524" spans="2:11" x14ac:dyDescent="0.25">
      <c r="D524" s="4" t="s">
        <v>32</v>
      </c>
      <c r="F524">
        <f>Definitions!G$10</f>
        <v>1.0201613296215051E-2</v>
      </c>
      <c r="H524">
        <f>Definitions!G$25</f>
        <v>8.557262120117759E-3</v>
      </c>
      <c r="I524" s="6">
        <f t="shared" si="80"/>
        <v>1.875887541633281E-2</v>
      </c>
      <c r="J524" s="1">
        <f t="shared" ca="1" si="85"/>
        <v>4.0526997303142842</v>
      </c>
      <c r="K524" s="1">
        <f t="shared" ca="1" si="84"/>
        <v>7.6024089340771234E-2</v>
      </c>
    </row>
    <row r="525" spans="2:11" x14ac:dyDescent="0.25">
      <c r="D525" s="4" t="s">
        <v>25</v>
      </c>
      <c r="F525">
        <f>Definitions!G$10</f>
        <v>1.0201613296215051E-2</v>
      </c>
      <c r="H525">
        <f>Definitions!G$26</f>
        <v>7.3226734992402288E-5</v>
      </c>
      <c r="I525" s="6">
        <f t="shared" si="80"/>
        <v>1.0274840031207454E-2</v>
      </c>
      <c r="J525" s="1">
        <f t="shared" ca="1" si="85"/>
        <v>5.8637153095554009</v>
      </c>
      <c r="K525" s="1">
        <f t="shared" ca="1" si="84"/>
        <v>6.0248736794223837E-2</v>
      </c>
    </row>
    <row r="526" spans="2:11" x14ac:dyDescent="0.25">
      <c r="D526" s="4" t="s">
        <v>33</v>
      </c>
      <c r="F526">
        <f>Definitions!G$10</f>
        <v>1.0201613296215051E-2</v>
      </c>
      <c r="H526">
        <f>Definitions!G$27</f>
        <v>6.266203655303857E-7</v>
      </c>
      <c r="I526" s="6">
        <f t="shared" si="80"/>
        <v>1.0202239916580581E-2</v>
      </c>
      <c r="J526" s="1">
        <f t="shared" ca="1" si="85"/>
        <v>3.3678318265355918</v>
      </c>
      <c r="K526" s="1">
        <f t="shared" ca="1" si="84"/>
        <v>3.4359428293011897E-2</v>
      </c>
    </row>
    <row r="527" spans="2:11" x14ac:dyDescent="0.25">
      <c r="D527" s="4" t="s">
        <v>34</v>
      </c>
      <c r="F527">
        <f>Definitions!G$10</f>
        <v>1.0201613296215051E-2</v>
      </c>
      <c r="H527">
        <f>Definitions!G$28</f>
        <v>5.3621547176475137E-9</v>
      </c>
      <c r="I527" s="6">
        <f t="shared" si="80"/>
        <v>1.0201618658369769E-2</v>
      </c>
      <c r="J527" s="1">
        <f t="shared" ca="1" si="85"/>
        <v>3.1693370850569509</v>
      </c>
      <c r="K527" s="1">
        <f t="shared" ca="1" si="84"/>
        <v>3.2332368341580243E-2</v>
      </c>
    </row>
    <row r="528" spans="2:11" x14ac:dyDescent="0.25">
      <c r="D528" s="4" t="s">
        <v>35</v>
      </c>
      <c r="F528">
        <f>Definitions!G$10</f>
        <v>1.0201613296215051E-2</v>
      </c>
      <c r="H528">
        <f>Definitions!G$29</f>
        <v>8.557262120117759E-3</v>
      </c>
      <c r="I528" s="6">
        <f t="shared" si="80"/>
        <v>1.875887541633281E-2</v>
      </c>
      <c r="J528" s="1">
        <f t="shared" ca="1" si="85"/>
        <v>4.0759480745422936</v>
      </c>
      <c r="K528" s="1">
        <f t="shared" ca="1" si="84"/>
        <v>7.6460202133780478E-2</v>
      </c>
    </row>
    <row r="529" spans="2:11" x14ac:dyDescent="0.25">
      <c r="D529" s="4" t="s">
        <v>36</v>
      </c>
      <c r="F529">
        <f>Definitions!G$10</f>
        <v>1.0201613296215051E-2</v>
      </c>
      <c r="H529">
        <f>Definitions!G$30</f>
        <v>7.3226734992402288E-5</v>
      </c>
      <c r="I529" s="6">
        <f t="shared" si="80"/>
        <v>1.0274840031207454E-2</v>
      </c>
      <c r="J529" s="1">
        <f t="shared" ca="1" si="85"/>
        <v>2.0464842642983747</v>
      </c>
      <c r="K529" s="1">
        <f t="shared" ca="1" si="84"/>
        <v>2.1027298442049074E-2</v>
      </c>
    </row>
    <row r="530" spans="2:11" x14ac:dyDescent="0.25">
      <c r="D530" s="4" t="s">
        <v>37</v>
      </c>
      <c r="F530">
        <f>Definitions!G$10</f>
        <v>1.0201613296215051E-2</v>
      </c>
      <c r="H530">
        <f>Definitions!G$31</f>
        <v>6.266203655303857E-7</v>
      </c>
      <c r="I530" s="6">
        <f t="shared" si="80"/>
        <v>1.0202239916580581E-2</v>
      </c>
      <c r="J530" s="1">
        <f t="shared" ca="1" si="85"/>
        <v>3.4429891698248061</v>
      </c>
      <c r="K530" s="1">
        <f t="shared" ca="1" si="84"/>
        <v>3.5126201540741274E-2</v>
      </c>
    </row>
    <row r="531" spans="2:11" x14ac:dyDescent="0.25">
      <c r="D531" s="4" t="s">
        <v>38</v>
      </c>
      <c r="F531">
        <f>Definitions!G$10</f>
        <v>1.0201613296215051E-2</v>
      </c>
      <c r="H531">
        <f>Definitions!G$32</f>
        <v>8.557262120117759E-3</v>
      </c>
      <c r="I531" s="6">
        <f t="shared" si="80"/>
        <v>1.875887541633281E-2</v>
      </c>
      <c r="J531" s="1">
        <f t="shared" ca="1" si="85"/>
        <v>3.4034911901672111</v>
      </c>
      <c r="K531" s="1">
        <f t="shared" ca="1" si="84"/>
        <v>6.3845667216932994E-2</v>
      </c>
    </row>
    <row r="532" spans="2:11" x14ac:dyDescent="0.25">
      <c r="D532" s="4" t="s">
        <v>39</v>
      </c>
      <c r="F532">
        <f>Definitions!G$10</f>
        <v>1.0201613296215051E-2</v>
      </c>
      <c r="H532">
        <f>Definitions!G$33</f>
        <v>7.3226734992402288E-5</v>
      </c>
      <c r="I532" s="6">
        <f t="shared" si="80"/>
        <v>1.0274840031207454E-2</v>
      </c>
      <c r="J532" s="1">
        <f t="shared" ca="1" si="85"/>
        <v>3.7985873236040577</v>
      </c>
      <c r="K532" s="1">
        <f t="shared" ca="1" si="84"/>
        <v>3.9029877094604155E-2</v>
      </c>
    </row>
    <row r="533" spans="2:11" x14ac:dyDescent="0.25">
      <c r="D533" s="4" t="s">
        <v>40</v>
      </c>
      <c r="F533">
        <f>Definitions!G$10</f>
        <v>1.0201613296215051E-2</v>
      </c>
      <c r="H533">
        <f>Definitions!G$34</f>
        <v>8.557262120117759E-3</v>
      </c>
      <c r="I533" s="6">
        <f t="shared" ref="I533:I588" si="88">SUM(F533+G533+H533)</f>
        <v>1.875887541633281E-2</v>
      </c>
      <c r="J533" s="1">
        <f t="shared" ca="1" si="85"/>
        <v>2.5552987126910547</v>
      </c>
      <c r="K533" s="1">
        <f t="shared" ca="1" si="84"/>
        <v>4.7934530202887099E-2</v>
      </c>
    </row>
    <row r="534" spans="2:11" x14ac:dyDescent="0.25">
      <c r="B534" s="4"/>
      <c r="C534" s="4" t="s">
        <v>26</v>
      </c>
      <c r="D534" s="4" t="s">
        <v>19</v>
      </c>
      <c r="F534">
        <f>Definitions!G$10</f>
        <v>1.0201613296215051E-2</v>
      </c>
      <c r="G534">
        <f>Definitions!G$15</f>
        <v>0.14734469250135696</v>
      </c>
      <c r="I534" s="6">
        <f t="shared" ref="I534" si="89">IF(1-(SUM(I535:I544))&lt;0,0,1-(SUM(I535:I544)))</f>
        <v>0</v>
      </c>
      <c r="J534" s="1">
        <f t="shared" ca="1" si="85"/>
        <v>4.8163773588262799</v>
      </c>
      <c r="K534" s="1">
        <f t="shared" ca="1" si="84"/>
        <v>0</v>
      </c>
    </row>
    <row r="535" spans="2:11" x14ac:dyDescent="0.25">
      <c r="D535" s="4" t="s">
        <v>32</v>
      </c>
      <c r="F535">
        <f>Definitions!G$10</f>
        <v>1.0201613296215051E-2</v>
      </c>
      <c r="G535">
        <f>Definitions!G$15</f>
        <v>0.14734469250135696</v>
      </c>
      <c r="H535">
        <f>Definitions!G$25</f>
        <v>8.557262120117759E-3</v>
      </c>
      <c r="I535" s="6">
        <f t="shared" ref="I535:I598" si="90">SUM(F535+G535+H535)</f>
        <v>0.16610356791768977</v>
      </c>
      <c r="J535" s="1">
        <f t="shared" ca="1" si="85"/>
        <v>0.80703165751827211</v>
      </c>
      <c r="K535" s="1">
        <f t="shared" ca="1" si="84"/>
        <v>0.13405083773631205</v>
      </c>
    </row>
    <row r="536" spans="2:11" x14ac:dyDescent="0.25">
      <c r="D536" s="4" t="s">
        <v>25</v>
      </c>
      <c r="F536">
        <f>Definitions!G$10</f>
        <v>1.0201613296215051E-2</v>
      </c>
      <c r="G536">
        <f>Definitions!G$15</f>
        <v>0.14734469250135696</v>
      </c>
      <c r="H536">
        <f>Definitions!G$26</f>
        <v>7.3226734992402288E-5</v>
      </c>
      <c r="I536" s="6">
        <f t="shared" si="90"/>
        <v>0.15761953253256442</v>
      </c>
      <c r="J536" s="1">
        <f t="shared" ca="1" si="85"/>
        <v>1.1202110703719743</v>
      </c>
      <c r="K536" s="1">
        <f t="shared" ca="1" si="84"/>
        <v>0.17656714524983422</v>
      </c>
    </row>
    <row r="537" spans="2:11" x14ac:dyDescent="0.25">
      <c r="D537" s="4" t="s">
        <v>33</v>
      </c>
      <c r="F537">
        <f>Definitions!G$10</f>
        <v>1.0201613296215051E-2</v>
      </c>
      <c r="G537">
        <f>Definitions!G$15</f>
        <v>0.14734469250135696</v>
      </c>
      <c r="H537">
        <f>Definitions!G$27</f>
        <v>6.266203655303857E-7</v>
      </c>
      <c r="I537" s="6">
        <f t="shared" si="90"/>
        <v>0.15754693241793755</v>
      </c>
      <c r="J537" s="1">
        <f t="shared" ca="1" si="85"/>
        <v>5.9619651213689986</v>
      </c>
      <c r="K537" s="1">
        <f t="shared" ca="1" si="84"/>
        <v>0.93928931605442245</v>
      </c>
    </row>
    <row r="538" spans="2:11" x14ac:dyDescent="0.25">
      <c r="D538" s="4" t="s">
        <v>34</v>
      </c>
      <c r="F538">
        <f>Definitions!G$10</f>
        <v>1.0201613296215051E-2</v>
      </c>
      <c r="G538">
        <f>Definitions!G$15</f>
        <v>0.14734469250135696</v>
      </c>
      <c r="H538">
        <f>Definitions!G$28</f>
        <v>5.3621547176475137E-9</v>
      </c>
      <c r="I538" s="6">
        <f t="shared" si="90"/>
        <v>0.15754631115972673</v>
      </c>
      <c r="J538" s="1">
        <f t="shared" ca="1" si="85"/>
        <v>2.5296339350487869</v>
      </c>
      <c r="K538" s="1">
        <f t="shared" ca="1" si="84"/>
        <v>0.3985344950514001</v>
      </c>
    </row>
    <row r="539" spans="2:11" x14ac:dyDescent="0.25">
      <c r="D539" s="4" t="s">
        <v>35</v>
      </c>
      <c r="F539">
        <f>Definitions!G$10</f>
        <v>1.0201613296215051E-2</v>
      </c>
      <c r="G539">
        <f>Definitions!G$15</f>
        <v>0.14734469250135696</v>
      </c>
      <c r="H539">
        <f>Definitions!G$29</f>
        <v>8.557262120117759E-3</v>
      </c>
      <c r="I539" s="6">
        <f t="shared" si="90"/>
        <v>0.16610356791768977</v>
      </c>
      <c r="J539" s="1">
        <f t="shared" ca="1" si="85"/>
        <v>2.8329502495670158</v>
      </c>
      <c r="K539" s="1">
        <f t="shared" ca="1" si="84"/>
        <v>0.470563144186391</v>
      </c>
    </row>
    <row r="540" spans="2:11" x14ac:dyDescent="0.25">
      <c r="D540" s="4" t="s">
        <v>36</v>
      </c>
      <c r="F540">
        <f>Definitions!G$10</f>
        <v>1.0201613296215051E-2</v>
      </c>
      <c r="G540">
        <f>Definitions!G$15</f>
        <v>0.14734469250135696</v>
      </c>
      <c r="H540">
        <f>Definitions!G$30</f>
        <v>7.3226734992402288E-5</v>
      </c>
      <c r="I540" s="6">
        <f t="shared" si="90"/>
        <v>0.15761953253256442</v>
      </c>
      <c r="J540" s="1">
        <f t="shared" ca="1" si="85"/>
        <v>3.9973103375457395</v>
      </c>
      <c r="K540" s="1">
        <f t="shared" ca="1" si="84"/>
        <v>0.63005418679154679</v>
      </c>
    </row>
    <row r="541" spans="2:11" x14ac:dyDescent="0.25">
      <c r="D541" s="4" t="s">
        <v>37</v>
      </c>
      <c r="F541">
        <f>Definitions!G$10</f>
        <v>1.0201613296215051E-2</v>
      </c>
      <c r="G541">
        <f>Definitions!G$15</f>
        <v>0.14734469250135696</v>
      </c>
      <c r="H541">
        <f>Definitions!G$31</f>
        <v>6.266203655303857E-7</v>
      </c>
      <c r="I541" s="6">
        <f t="shared" si="90"/>
        <v>0.15754693241793755</v>
      </c>
      <c r="J541" s="1">
        <f t="shared" ca="1" si="85"/>
        <v>1.0767195320205505</v>
      </c>
      <c r="K541" s="1">
        <f t="shared" ca="1" si="84"/>
        <v>0.16963385934431502</v>
      </c>
    </row>
    <row r="542" spans="2:11" x14ac:dyDescent="0.25">
      <c r="D542" s="4" t="s">
        <v>38</v>
      </c>
      <c r="F542">
        <f>Definitions!G$10</f>
        <v>1.0201613296215051E-2</v>
      </c>
      <c r="G542">
        <f>Definitions!G$15</f>
        <v>0.14734469250135696</v>
      </c>
      <c r="H542">
        <f>Definitions!G$32</f>
        <v>8.557262120117759E-3</v>
      </c>
      <c r="I542" s="6">
        <f t="shared" si="88"/>
        <v>0.16610356791768977</v>
      </c>
      <c r="J542" s="1">
        <f t="shared" ca="1" si="85"/>
        <v>1.8825011728254157</v>
      </c>
      <c r="K542" s="1">
        <f t="shared" ca="1" si="84"/>
        <v>0.31269016141553707</v>
      </c>
    </row>
    <row r="543" spans="2:11" x14ac:dyDescent="0.25">
      <c r="D543" s="4" t="s">
        <v>39</v>
      </c>
      <c r="F543">
        <f>Definitions!G$10</f>
        <v>1.0201613296215051E-2</v>
      </c>
      <c r="G543">
        <f>Definitions!G$15</f>
        <v>0.14734469250135696</v>
      </c>
      <c r="H543">
        <f>Definitions!G$33</f>
        <v>7.3226734992402288E-5</v>
      </c>
      <c r="I543" s="6">
        <f t="shared" si="88"/>
        <v>0.15761953253256442</v>
      </c>
      <c r="J543" s="1">
        <f t="shared" ca="1" si="85"/>
        <v>3.2269258484557075</v>
      </c>
      <c r="K543" s="1">
        <f t="shared" ca="1" si="84"/>
        <v>0.50862654375083738</v>
      </c>
    </row>
    <row r="544" spans="2:11" x14ac:dyDescent="0.25">
      <c r="D544" s="4" t="s">
        <v>40</v>
      </c>
      <c r="F544">
        <f>Definitions!G$10</f>
        <v>1.0201613296215051E-2</v>
      </c>
      <c r="G544">
        <f>Definitions!G$15</f>
        <v>0.14734469250135696</v>
      </c>
      <c r="H544">
        <f>Definitions!G$34</f>
        <v>8.557262120117759E-3</v>
      </c>
      <c r="I544" s="6">
        <f t="shared" si="88"/>
        <v>0.16610356791768977</v>
      </c>
      <c r="J544" s="1">
        <f t="shared" ca="1" si="85"/>
        <v>0.76318248034607095</v>
      </c>
      <c r="K544" s="1">
        <f t="shared" ca="1" si="84"/>
        <v>0.12676733295775452</v>
      </c>
    </row>
    <row r="545" spans="2:11" x14ac:dyDescent="0.25">
      <c r="B545" s="4"/>
      <c r="C545" s="4" t="s">
        <v>27</v>
      </c>
      <c r="D545" s="4" t="s">
        <v>19</v>
      </c>
      <c r="F545">
        <f>Definitions!G$10</f>
        <v>1.0201613296215051E-2</v>
      </c>
      <c r="G545">
        <f>Definitions!G$16</f>
        <v>2.1710458408319436E-2</v>
      </c>
      <c r="I545" s="6">
        <f t="shared" ref="I545" si="91">IF(1-(SUM(I546:I555))&lt;0,0,1-(SUM(I546:I555)))</f>
        <v>0.64642929566632112</v>
      </c>
      <c r="J545" s="1">
        <f t="shared" ca="1" si="85"/>
        <v>3.3941977827200605</v>
      </c>
      <c r="K545" s="1">
        <f t="shared" ca="1" si="84"/>
        <v>2.1941088820359176</v>
      </c>
    </row>
    <row r="546" spans="2:11" x14ac:dyDescent="0.25">
      <c r="D546" s="4" t="s">
        <v>32</v>
      </c>
      <c r="F546">
        <f>Definitions!G$10</f>
        <v>1.0201613296215051E-2</v>
      </c>
      <c r="G546">
        <f>Definitions!G$16</f>
        <v>2.1710458408319436E-2</v>
      </c>
      <c r="H546">
        <f>Definitions!G$25</f>
        <v>8.557262120117759E-3</v>
      </c>
      <c r="I546" s="6">
        <f t="shared" si="90"/>
        <v>4.0469333824652245E-2</v>
      </c>
      <c r="J546" s="1">
        <f t="shared" ca="1" si="85"/>
        <v>0.10920085959009018</v>
      </c>
      <c r="K546" s="1">
        <f t="shared" ca="1" si="84"/>
        <v>4.4192860406903371E-3</v>
      </c>
    </row>
    <row r="547" spans="2:11" x14ac:dyDescent="0.25">
      <c r="D547" s="4" t="s">
        <v>25</v>
      </c>
      <c r="F547">
        <f>Definitions!G$10</f>
        <v>1.0201613296215051E-2</v>
      </c>
      <c r="G547">
        <f>Definitions!G$16</f>
        <v>2.1710458408319436E-2</v>
      </c>
      <c r="H547">
        <f>Definitions!G$26</f>
        <v>7.3226734992402288E-5</v>
      </c>
      <c r="I547" s="6">
        <f t="shared" si="90"/>
        <v>3.1985298439526889E-2</v>
      </c>
      <c r="J547" s="1">
        <f t="shared" ca="1" si="85"/>
        <v>4.9437762235638845</v>
      </c>
      <c r="K547" s="1">
        <f t="shared" ca="1" si="84"/>
        <v>0.15812815792892806</v>
      </c>
    </row>
    <row r="548" spans="2:11" x14ac:dyDescent="0.25">
      <c r="D548" s="4" t="s">
        <v>33</v>
      </c>
      <c r="F548">
        <f>Definitions!G$10</f>
        <v>1.0201613296215051E-2</v>
      </c>
      <c r="G548">
        <f>Definitions!G$16</f>
        <v>2.1710458408319436E-2</v>
      </c>
      <c r="H548">
        <f>Definitions!G$27</f>
        <v>6.266203655303857E-7</v>
      </c>
      <c r="I548" s="6">
        <f t="shared" si="90"/>
        <v>3.191269832490002E-2</v>
      </c>
      <c r="J548" s="1">
        <f t="shared" ca="1" si="85"/>
        <v>7.0211397475645523</v>
      </c>
      <c r="K548" s="1">
        <f t="shared" ca="1" si="84"/>
        <v>0.22406351466099222</v>
      </c>
    </row>
    <row r="549" spans="2:11" x14ac:dyDescent="0.25">
      <c r="D549" s="4" t="s">
        <v>34</v>
      </c>
      <c r="F549">
        <f>Definitions!G$10</f>
        <v>1.0201613296215051E-2</v>
      </c>
      <c r="G549">
        <f>Definitions!G$16</f>
        <v>2.1710458408319436E-2</v>
      </c>
      <c r="H549">
        <f>Definitions!G$28</f>
        <v>5.3621547176475137E-9</v>
      </c>
      <c r="I549" s="6">
        <f t="shared" si="90"/>
        <v>3.1912077066689207E-2</v>
      </c>
      <c r="J549" s="1">
        <f t="shared" ca="1" si="85"/>
        <v>5.5022133318313546</v>
      </c>
      <c r="K549" s="1">
        <f t="shared" ca="1" si="84"/>
        <v>0.17558705588276699</v>
      </c>
    </row>
    <row r="550" spans="2:11" x14ac:dyDescent="0.25">
      <c r="D550" s="4" t="s">
        <v>35</v>
      </c>
      <c r="F550">
        <f>Definitions!G$10</f>
        <v>1.0201613296215051E-2</v>
      </c>
      <c r="G550">
        <f>Definitions!G$16</f>
        <v>2.1710458408319436E-2</v>
      </c>
      <c r="H550">
        <f>Definitions!G$29</f>
        <v>8.557262120117759E-3</v>
      </c>
      <c r="I550" s="6">
        <f t="shared" si="90"/>
        <v>4.0469333824652245E-2</v>
      </c>
      <c r="J550" s="1">
        <f t="shared" ca="1" si="85"/>
        <v>3.7509831395832594</v>
      </c>
      <c r="K550" s="1">
        <f t="shared" ca="1" si="84"/>
        <v>0.15179978884643708</v>
      </c>
    </row>
    <row r="551" spans="2:11" x14ac:dyDescent="0.25">
      <c r="D551" s="4" t="s">
        <v>36</v>
      </c>
      <c r="F551">
        <f>Definitions!G$10</f>
        <v>1.0201613296215051E-2</v>
      </c>
      <c r="G551">
        <f>Definitions!G$16</f>
        <v>2.1710458408319436E-2</v>
      </c>
      <c r="H551">
        <f>Definitions!G$30</f>
        <v>7.3226734992402288E-5</v>
      </c>
      <c r="I551" s="6">
        <f t="shared" si="90"/>
        <v>3.1985298439526889E-2</v>
      </c>
      <c r="J551" s="1">
        <f t="shared" ca="1" si="85"/>
        <v>3.535595753213161</v>
      </c>
      <c r="K551" s="1">
        <f t="shared" ca="1" si="84"/>
        <v>0.11308708532804682</v>
      </c>
    </row>
    <row r="552" spans="2:11" x14ac:dyDescent="0.25">
      <c r="D552" s="4" t="s">
        <v>37</v>
      </c>
      <c r="F552">
        <f>Definitions!G$10</f>
        <v>1.0201613296215051E-2</v>
      </c>
      <c r="G552">
        <f>Definitions!G$16</f>
        <v>2.1710458408319436E-2</v>
      </c>
      <c r="H552">
        <f>Definitions!G$31</f>
        <v>6.266203655303857E-7</v>
      </c>
      <c r="I552" s="6">
        <f t="shared" si="90"/>
        <v>3.191269832490002E-2</v>
      </c>
      <c r="J552" s="1">
        <f t="shared" ca="1" si="85"/>
        <v>3.4243830107270132</v>
      </c>
      <c r="K552" s="1">
        <f t="shared" ca="1" si="84"/>
        <v>0.10928130197024404</v>
      </c>
    </row>
    <row r="553" spans="2:11" x14ac:dyDescent="0.25">
      <c r="D553" s="4" t="s">
        <v>38</v>
      </c>
      <c r="F553">
        <f>Definitions!G$10</f>
        <v>1.0201613296215051E-2</v>
      </c>
      <c r="G553">
        <f>Definitions!G$16</f>
        <v>2.1710458408319436E-2</v>
      </c>
      <c r="H553">
        <f>Definitions!G$32</f>
        <v>8.557262120117759E-3</v>
      </c>
      <c r="I553" s="6">
        <f t="shared" si="88"/>
        <v>4.0469333824652245E-2</v>
      </c>
      <c r="J553" s="1">
        <f t="shared" ca="1" si="85"/>
        <v>3.523565340507858</v>
      </c>
      <c r="K553" s="1">
        <f t="shared" ca="1" si="84"/>
        <v>0.14259634201798696</v>
      </c>
    </row>
    <row r="554" spans="2:11" x14ac:dyDescent="0.25">
      <c r="D554" s="4" t="s">
        <v>39</v>
      </c>
      <c r="F554">
        <f>Definitions!G$10</f>
        <v>1.0201613296215051E-2</v>
      </c>
      <c r="G554">
        <f>Definitions!G$16</f>
        <v>2.1710458408319436E-2</v>
      </c>
      <c r="H554">
        <f>Definitions!G$33</f>
        <v>7.3226734992402288E-5</v>
      </c>
      <c r="I554" s="6">
        <f t="shared" si="88"/>
        <v>3.1985298439526889E-2</v>
      </c>
      <c r="J554" s="1">
        <f t="shared" ca="1" si="85"/>
        <v>6.1574761005448799</v>
      </c>
      <c r="K554" s="1">
        <f t="shared" ca="1" si="84"/>
        <v>0.19694871071018227</v>
      </c>
    </row>
    <row r="555" spans="2:11" x14ac:dyDescent="0.25">
      <c r="D555" s="4" t="s">
        <v>40</v>
      </c>
      <c r="F555">
        <f>Definitions!G$10</f>
        <v>1.0201613296215051E-2</v>
      </c>
      <c r="G555">
        <f>Definitions!G$16</f>
        <v>2.1710458408319436E-2</v>
      </c>
      <c r="H555">
        <f>Definitions!G$34</f>
        <v>8.557262120117759E-3</v>
      </c>
      <c r="I555" s="6">
        <f t="shared" si="88"/>
        <v>4.0469333824652245E-2</v>
      </c>
      <c r="J555" s="1">
        <f t="shared" ca="1" si="85"/>
        <v>2.2854116678948717</v>
      </c>
      <c r="K555" s="1">
        <f t="shared" ca="1" si="84"/>
        <v>9.2489087714792834E-2</v>
      </c>
    </row>
    <row r="556" spans="2:11" x14ac:dyDescent="0.25">
      <c r="B556" s="4"/>
      <c r="C556" s="4" t="s">
        <v>28</v>
      </c>
      <c r="D556" s="4" t="s">
        <v>19</v>
      </c>
      <c r="F556">
        <f>Definitions!G$10</f>
        <v>1.0201613296215051E-2</v>
      </c>
      <c r="G556">
        <f>Definitions!G$17</f>
        <v>8.4805222095781527E-4</v>
      </c>
      <c r="I556" s="6">
        <f t="shared" ref="I556" si="92">IF(1-(SUM(I557:I566))&lt;0,0,1-(SUM(I557:I566)))</f>
        <v>0.85505335753993728</v>
      </c>
      <c r="J556" s="1">
        <f t="shared" ca="1" si="85"/>
        <v>6.9336714842096239</v>
      </c>
      <c r="K556" s="1">
        <f t="shared" ca="1" si="84"/>
        <v>5.9286590826523593</v>
      </c>
    </row>
    <row r="557" spans="2:11" x14ac:dyDescent="0.25">
      <c r="D557" s="4" t="s">
        <v>32</v>
      </c>
      <c r="F557">
        <f>Definitions!G$10</f>
        <v>1.0201613296215051E-2</v>
      </c>
      <c r="G557">
        <f>Definitions!G$17</f>
        <v>8.4805222095781527E-4</v>
      </c>
      <c r="H557">
        <f>Definitions!G$25</f>
        <v>8.557262120117759E-3</v>
      </c>
      <c r="I557" s="6">
        <f t="shared" si="90"/>
        <v>1.9606927637290626E-2</v>
      </c>
      <c r="J557" s="1">
        <f t="shared" ca="1" si="85"/>
        <v>4.4889929498914238</v>
      </c>
      <c r="K557" s="1">
        <f t="shared" ca="1" si="84"/>
        <v>8.8015359932828927E-2</v>
      </c>
    </row>
    <row r="558" spans="2:11" x14ac:dyDescent="0.25">
      <c r="D558" s="4" t="s">
        <v>25</v>
      </c>
      <c r="F558">
        <f>Definitions!G$10</f>
        <v>1.0201613296215051E-2</v>
      </c>
      <c r="G558">
        <f>Definitions!G$17</f>
        <v>8.4805222095781527E-4</v>
      </c>
      <c r="H558">
        <f>Definitions!G$26</f>
        <v>7.3226734992402288E-5</v>
      </c>
      <c r="I558" s="6">
        <f t="shared" si="90"/>
        <v>1.1122892252165268E-2</v>
      </c>
      <c r="J558" s="1">
        <f t="shared" ca="1" si="85"/>
        <v>5.5446381648189211</v>
      </c>
      <c r="K558" s="1">
        <f t="shared" ca="1" si="84"/>
        <v>6.1672412884524228E-2</v>
      </c>
    </row>
    <row r="559" spans="2:11" x14ac:dyDescent="0.25">
      <c r="D559" s="4" t="s">
        <v>33</v>
      </c>
      <c r="F559">
        <f>Definitions!G$10</f>
        <v>1.0201613296215051E-2</v>
      </c>
      <c r="G559">
        <f>Definitions!G$17</f>
        <v>8.4805222095781527E-4</v>
      </c>
      <c r="H559">
        <f>Definitions!G$27</f>
        <v>6.266203655303857E-7</v>
      </c>
      <c r="I559" s="6">
        <f t="shared" si="90"/>
        <v>1.1050292137538395E-2</v>
      </c>
      <c r="J559" s="1">
        <f t="shared" ca="1" si="85"/>
        <v>3.7226956707599528</v>
      </c>
      <c r="K559" s="1">
        <f t="shared" ca="1" si="84"/>
        <v>4.1136874701046926E-2</v>
      </c>
    </row>
    <row r="560" spans="2:11" x14ac:dyDescent="0.25">
      <c r="D560" s="4" t="s">
        <v>34</v>
      </c>
      <c r="F560">
        <f>Definitions!G$10</f>
        <v>1.0201613296215051E-2</v>
      </c>
      <c r="G560">
        <f>Definitions!G$17</f>
        <v>8.4805222095781527E-4</v>
      </c>
      <c r="H560">
        <f>Definitions!G$28</f>
        <v>5.3621547176475137E-9</v>
      </c>
      <c r="I560" s="6">
        <f t="shared" si="90"/>
        <v>1.1049670879327584E-2</v>
      </c>
      <c r="J560" s="1">
        <f t="shared" ca="1" si="85"/>
        <v>6.5441635215485849</v>
      </c>
      <c r="K560" s="1">
        <f t="shared" ca="1" si="84"/>
        <v>7.231085309361325E-2</v>
      </c>
    </row>
    <row r="561" spans="2:11" x14ac:dyDescent="0.25">
      <c r="D561" s="4" t="s">
        <v>35</v>
      </c>
      <c r="F561">
        <f>Definitions!G$10</f>
        <v>1.0201613296215051E-2</v>
      </c>
      <c r="G561">
        <f>Definitions!G$17</f>
        <v>8.4805222095781527E-4</v>
      </c>
      <c r="H561">
        <f>Definitions!G$29</f>
        <v>8.557262120117759E-3</v>
      </c>
      <c r="I561" s="6">
        <f t="shared" si="90"/>
        <v>1.9606927637290626E-2</v>
      </c>
      <c r="J561" s="1">
        <f t="shared" ca="1" si="85"/>
        <v>4.6091834549281039</v>
      </c>
      <c r="K561" s="1">
        <f t="shared" ca="1" si="84"/>
        <v>9.0371926467772534E-2</v>
      </c>
    </row>
    <row r="562" spans="2:11" x14ac:dyDescent="0.25">
      <c r="D562" s="4" t="s">
        <v>36</v>
      </c>
      <c r="F562">
        <f>Definitions!G$10</f>
        <v>1.0201613296215051E-2</v>
      </c>
      <c r="G562">
        <f>Definitions!G$17</f>
        <v>8.4805222095781527E-4</v>
      </c>
      <c r="H562">
        <f>Definitions!G$30</f>
        <v>7.3226734992402288E-5</v>
      </c>
      <c r="I562" s="6">
        <f t="shared" si="90"/>
        <v>1.1122892252165268E-2</v>
      </c>
      <c r="J562" s="1">
        <f t="shared" ca="1" si="85"/>
        <v>3.7307480583839596</v>
      </c>
      <c r="K562" s="1">
        <f t="shared" ca="1" si="84"/>
        <v>4.1496708673379561E-2</v>
      </c>
    </row>
    <row r="563" spans="2:11" x14ac:dyDescent="0.25">
      <c r="D563" s="4" t="s">
        <v>37</v>
      </c>
      <c r="F563">
        <f>Definitions!G$10</f>
        <v>1.0201613296215051E-2</v>
      </c>
      <c r="G563">
        <f>Definitions!G$17</f>
        <v>8.4805222095781527E-4</v>
      </c>
      <c r="H563">
        <f>Definitions!G$31</f>
        <v>6.266203655303857E-7</v>
      </c>
      <c r="I563" s="6">
        <f t="shared" si="90"/>
        <v>1.1050292137538395E-2</v>
      </c>
      <c r="J563" s="1">
        <f t="shared" ca="1" si="85"/>
        <v>5.8500943857212189</v>
      </c>
      <c r="K563" s="1">
        <f t="shared" ca="1" si="84"/>
        <v>6.4645251994392694E-2</v>
      </c>
    </row>
    <row r="564" spans="2:11" x14ac:dyDescent="0.25">
      <c r="D564" s="4" t="s">
        <v>38</v>
      </c>
      <c r="F564">
        <f>Definitions!G$10</f>
        <v>1.0201613296215051E-2</v>
      </c>
      <c r="G564">
        <f>Definitions!G$17</f>
        <v>8.4805222095781527E-4</v>
      </c>
      <c r="H564">
        <f>Definitions!G$32</f>
        <v>8.557262120117759E-3</v>
      </c>
      <c r="I564" s="6">
        <f t="shared" si="88"/>
        <v>1.9606927637290626E-2</v>
      </c>
      <c r="J564" s="1">
        <f t="shared" ca="1" si="85"/>
        <v>4.3238786004672072</v>
      </c>
      <c r="K564" s="1">
        <f t="shared" ca="1" si="84"/>
        <v>8.4777974831790004E-2</v>
      </c>
    </row>
    <row r="565" spans="2:11" x14ac:dyDescent="0.25">
      <c r="D565" s="4" t="s">
        <v>39</v>
      </c>
      <c r="F565">
        <f>Definitions!G$10</f>
        <v>1.0201613296215051E-2</v>
      </c>
      <c r="G565">
        <f>Definitions!G$17</f>
        <v>8.4805222095781527E-4</v>
      </c>
      <c r="H565">
        <f>Definitions!G$33</f>
        <v>7.3226734992402288E-5</v>
      </c>
      <c r="I565" s="6">
        <f t="shared" si="88"/>
        <v>1.1122892252165268E-2</v>
      </c>
      <c r="J565" s="1">
        <f t="shared" ca="1" si="85"/>
        <v>3.6143083501180109</v>
      </c>
      <c r="K565" s="1">
        <f t="shared" ca="1" si="84"/>
        <v>4.0201562344463856E-2</v>
      </c>
    </row>
    <row r="566" spans="2:11" x14ac:dyDescent="0.25">
      <c r="D566" s="4" t="s">
        <v>40</v>
      </c>
      <c r="F566">
        <f>Definitions!G$10</f>
        <v>1.0201613296215051E-2</v>
      </c>
      <c r="G566">
        <f>Definitions!G$17</f>
        <v>8.4805222095781527E-4</v>
      </c>
      <c r="H566">
        <f>Definitions!G$34</f>
        <v>8.557262120117759E-3</v>
      </c>
      <c r="I566" s="6">
        <f t="shared" si="88"/>
        <v>1.9606927637290626E-2</v>
      </c>
      <c r="J566" s="1">
        <f t="shared" ca="1" si="85"/>
        <v>5.4806334527648239</v>
      </c>
      <c r="K566" s="1">
        <f t="shared" ca="1" si="84"/>
        <v>0.10745838351487418</v>
      </c>
    </row>
    <row r="567" spans="2:11" x14ac:dyDescent="0.25">
      <c r="B567" s="4"/>
      <c r="C567" s="4" t="s">
        <v>29</v>
      </c>
      <c r="D567" s="4" t="s">
        <v>19</v>
      </c>
      <c r="F567">
        <f>Definitions!G$10</f>
        <v>1.0201613296215051E-2</v>
      </c>
      <c r="G567">
        <f>Definitions!G$18</f>
        <v>0.14734469250135696</v>
      </c>
      <c r="I567" s="6">
        <f t="shared" ref="I567" si="93">IF(1-(SUM(I568:I577))&lt;0,0,1-(SUM(I568:I577)))</f>
        <v>0</v>
      </c>
      <c r="J567" s="1">
        <f t="shared" ca="1" si="85"/>
        <v>5.8675413512164969</v>
      </c>
      <c r="K567" s="1">
        <f t="shared" ca="1" si="84"/>
        <v>0</v>
      </c>
    </row>
    <row r="568" spans="2:11" x14ac:dyDescent="0.25">
      <c r="D568" s="4" t="s">
        <v>32</v>
      </c>
      <c r="F568">
        <f>Definitions!G$10</f>
        <v>1.0201613296215051E-2</v>
      </c>
      <c r="G568">
        <f>Definitions!G$18</f>
        <v>0.14734469250135696</v>
      </c>
      <c r="H568">
        <f>Definitions!G$25</f>
        <v>8.557262120117759E-3</v>
      </c>
      <c r="I568" s="6">
        <f t="shared" si="90"/>
        <v>0.16610356791768977</v>
      </c>
      <c r="J568" s="1">
        <f t="shared" ca="1" si="85"/>
        <v>5.316357951189925</v>
      </c>
      <c r="K568" s="1">
        <f t="shared" ca="1" si="84"/>
        <v>0.88306602402022571</v>
      </c>
    </row>
    <row r="569" spans="2:11" x14ac:dyDescent="0.25">
      <c r="D569" s="4" t="s">
        <v>25</v>
      </c>
      <c r="F569">
        <f>Definitions!G$10</f>
        <v>1.0201613296215051E-2</v>
      </c>
      <c r="G569">
        <f>Definitions!G$18</f>
        <v>0.14734469250135696</v>
      </c>
      <c r="H569">
        <f>Definitions!G$26</f>
        <v>7.3226734992402288E-5</v>
      </c>
      <c r="I569" s="6">
        <f t="shared" si="90"/>
        <v>0.15761953253256442</v>
      </c>
      <c r="J569" s="1">
        <f t="shared" ca="1" si="85"/>
        <v>7.7486178474585783</v>
      </c>
      <c r="K569" s="1">
        <f t="shared" ca="1" si="84"/>
        <v>1.2213335228899067</v>
      </c>
    </row>
    <row r="570" spans="2:11" x14ac:dyDescent="0.25">
      <c r="D570" s="4" t="s">
        <v>33</v>
      </c>
      <c r="F570">
        <f>Definitions!G$10</f>
        <v>1.0201613296215051E-2</v>
      </c>
      <c r="G570">
        <f>Definitions!G$18</f>
        <v>0.14734469250135696</v>
      </c>
      <c r="H570">
        <f>Definitions!G$27</f>
        <v>6.266203655303857E-7</v>
      </c>
      <c r="I570" s="6">
        <f t="shared" si="90"/>
        <v>0.15754693241793755</v>
      </c>
      <c r="J570" s="1">
        <f t="shared" ca="1" si="85"/>
        <v>1.9259118098108878</v>
      </c>
      <c r="K570" s="1">
        <f t="shared" ca="1" si="84"/>
        <v>0.30342149774318372</v>
      </c>
    </row>
    <row r="571" spans="2:11" x14ac:dyDescent="0.25">
      <c r="D571" s="4" t="s">
        <v>34</v>
      </c>
      <c r="F571">
        <f>Definitions!G$10</f>
        <v>1.0201613296215051E-2</v>
      </c>
      <c r="G571">
        <f>Definitions!G$18</f>
        <v>0.14734469250135696</v>
      </c>
      <c r="H571">
        <f>Definitions!G$28</f>
        <v>5.3621547176475137E-9</v>
      </c>
      <c r="I571" s="6">
        <f t="shared" si="90"/>
        <v>0.15754631115972673</v>
      </c>
      <c r="J571" s="1">
        <f t="shared" ca="1" si="85"/>
        <v>2.7588122169226246</v>
      </c>
      <c r="K571" s="1">
        <f t="shared" ca="1" si="84"/>
        <v>0.43464068795854732</v>
      </c>
    </row>
    <row r="572" spans="2:11" x14ac:dyDescent="0.25">
      <c r="D572" s="4" t="s">
        <v>35</v>
      </c>
      <c r="F572">
        <f>Definitions!G$10</f>
        <v>1.0201613296215051E-2</v>
      </c>
      <c r="G572">
        <f>Definitions!G$18</f>
        <v>0.14734469250135696</v>
      </c>
      <c r="H572">
        <f>Definitions!G$29</f>
        <v>8.557262120117759E-3</v>
      </c>
      <c r="I572" s="6">
        <f t="shared" si="90"/>
        <v>0.16610356791768977</v>
      </c>
      <c r="J572" s="1">
        <f t="shared" ca="1" si="85"/>
        <v>3.9773126817610329</v>
      </c>
      <c r="K572" s="1">
        <f t="shared" ca="1" si="84"/>
        <v>0.6606458271647826</v>
      </c>
    </row>
    <row r="573" spans="2:11" x14ac:dyDescent="0.25">
      <c r="D573" s="4" t="s">
        <v>36</v>
      </c>
      <c r="F573">
        <f>Definitions!G$10</f>
        <v>1.0201613296215051E-2</v>
      </c>
      <c r="G573">
        <f>Definitions!G$18</f>
        <v>0.14734469250135696</v>
      </c>
      <c r="H573">
        <f>Definitions!G$30</f>
        <v>7.3226734992402288E-5</v>
      </c>
      <c r="I573" s="6">
        <f t="shared" si="90"/>
        <v>0.15761953253256442</v>
      </c>
      <c r="J573" s="1">
        <f t="shared" ca="1" si="85"/>
        <v>4.5384344915688368</v>
      </c>
      <c r="K573" s="1">
        <f t="shared" ca="1" si="84"/>
        <v>0.71534592299074673</v>
      </c>
    </row>
    <row r="574" spans="2:11" x14ac:dyDescent="0.25">
      <c r="D574" s="4" t="s">
        <v>37</v>
      </c>
      <c r="F574">
        <f>Definitions!G$10</f>
        <v>1.0201613296215051E-2</v>
      </c>
      <c r="G574">
        <f>Definitions!G$18</f>
        <v>0.14734469250135696</v>
      </c>
      <c r="H574">
        <f>Definitions!G$31</f>
        <v>6.266203655303857E-7</v>
      </c>
      <c r="I574" s="6">
        <f t="shared" si="90"/>
        <v>0.15754693241793755</v>
      </c>
      <c r="J574" s="1">
        <f t="shared" ca="1" si="85"/>
        <v>6.7357092330026704</v>
      </c>
      <c r="K574" s="1">
        <f t="shared" ref="K574:K599" ca="1" si="94">I574*J574</f>
        <v>1.0611903273187497</v>
      </c>
    </row>
    <row r="575" spans="2:11" x14ac:dyDescent="0.25">
      <c r="D575" s="4" t="s">
        <v>38</v>
      </c>
      <c r="F575">
        <f>Definitions!G$10</f>
        <v>1.0201613296215051E-2</v>
      </c>
      <c r="G575">
        <f>Definitions!G$18</f>
        <v>0.14734469250135696</v>
      </c>
      <c r="H575">
        <f>Definitions!G$32</f>
        <v>8.557262120117759E-3</v>
      </c>
      <c r="I575" s="6">
        <f t="shared" si="88"/>
        <v>0.16610356791768977</v>
      </c>
      <c r="J575" s="1">
        <f t="shared" ref="J575:J599" ca="1" si="95">_xlfn.NORM.INV(RAND(),4,2)</f>
        <v>5.490137808478881</v>
      </c>
      <c r="K575" s="1">
        <f t="shared" ca="1" si="94"/>
        <v>0.91193147834814825</v>
      </c>
    </row>
    <row r="576" spans="2:11" x14ac:dyDescent="0.25">
      <c r="D576" s="4" t="s">
        <v>39</v>
      </c>
      <c r="F576">
        <f>Definitions!G$10</f>
        <v>1.0201613296215051E-2</v>
      </c>
      <c r="G576">
        <f>Definitions!G$18</f>
        <v>0.14734469250135696</v>
      </c>
      <c r="H576">
        <f>Definitions!G$33</f>
        <v>7.3226734992402288E-5</v>
      </c>
      <c r="I576" s="6">
        <f t="shared" si="88"/>
        <v>0.15761953253256442</v>
      </c>
      <c r="J576" s="1">
        <f t="shared" ca="1" si="95"/>
        <v>3.2275396769361202</v>
      </c>
      <c r="K576" s="1">
        <f t="shared" ca="1" si="94"/>
        <v>0.50872329510897529</v>
      </c>
    </row>
    <row r="577" spans="2:11" x14ac:dyDescent="0.25">
      <c r="D577" s="4" t="s">
        <v>40</v>
      </c>
      <c r="F577">
        <f>Definitions!G$10</f>
        <v>1.0201613296215051E-2</v>
      </c>
      <c r="G577">
        <f>Definitions!G$18</f>
        <v>0.14734469250135696</v>
      </c>
      <c r="H577">
        <f>Definitions!G$34</f>
        <v>8.557262120117759E-3</v>
      </c>
      <c r="I577" s="6">
        <f t="shared" si="88"/>
        <v>0.16610356791768977</v>
      </c>
      <c r="J577" s="1">
        <f t="shared" ca="1" si="95"/>
        <v>6.3928222525191511</v>
      </c>
      <c r="K577" s="1">
        <f t="shared" ca="1" si="94"/>
        <v>1.0618705852070334</v>
      </c>
    </row>
    <row r="578" spans="2:11" x14ac:dyDescent="0.25">
      <c r="B578" s="4"/>
      <c r="C578" s="4" t="s">
        <v>30</v>
      </c>
      <c r="D578" s="4" t="s">
        <v>19</v>
      </c>
      <c r="F578">
        <f>Definitions!G$10</f>
        <v>1.0201613296215051E-2</v>
      </c>
      <c r="G578">
        <f>Definitions!G$18</f>
        <v>0.14734469250135696</v>
      </c>
      <c r="I578" s="6">
        <f t="shared" ref="I578" si="96">IF(1-(SUM(I579:I588))&lt;0,0,1-(SUM(I579:I588)))</f>
        <v>0.8059782117060259</v>
      </c>
      <c r="J578" s="1">
        <f t="shared" ca="1" si="95"/>
        <v>3.3240087045791551</v>
      </c>
      <c r="K578" s="1">
        <f t="shared" ca="1" si="94"/>
        <v>2.679078591411971</v>
      </c>
    </row>
    <row r="579" spans="2:11" x14ac:dyDescent="0.25">
      <c r="D579" s="4" t="s">
        <v>32</v>
      </c>
      <c r="F579">
        <f>Definitions!G$10</f>
        <v>1.0201613296215051E-2</v>
      </c>
      <c r="G579">
        <f>Definitions!G$19</f>
        <v>5.75556680434896E-3</v>
      </c>
      <c r="H579">
        <f>Definitions!G$25</f>
        <v>8.557262120117759E-3</v>
      </c>
      <c r="I579" s="6">
        <f t="shared" si="90"/>
        <v>2.4514442220681769E-2</v>
      </c>
      <c r="J579" s="1">
        <f t="shared" ca="1" si="95"/>
        <v>6.0297874392071629</v>
      </c>
      <c r="K579" s="1">
        <f t="shared" ca="1" si="94"/>
        <v>0.14781687578143668</v>
      </c>
    </row>
    <row r="580" spans="2:11" x14ac:dyDescent="0.25">
      <c r="D580" s="4" t="s">
        <v>25</v>
      </c>
      <c r="F580">
        <f>Definitions!G$10</f>
        <v>1.0201613296215051E-2</v>
      </c>
      <c r="G580">
        <f>Definitions!G$19</f>
        <v>5.75556680434896E-3</v>
      </c>
      <c r="H580">
        <f>Definitions!G$26</f>
        <v>7.3226734992402288E-5</v>
      </c>
      <c r="I580" s="6">
        <f t="shared" si="90"/>
        <v>1.6030406835556413E-2</v>
      </c>
      <c r="J580" s="1">
        <f t="shared" ca="1" si="95"/>
        <v>5.224334169101442</v>
      </c>
      <c r="K580" s="1">
        <f t="shared" ca="1" si="94"/>
        <v>8.3748202175594685E-2</v>
      </c>
    </row>
    <row r="581" spans="2:11" x14ac:dyDescent="0.25">
      <c r="D581" s="4" t="s">
        <v>33</v>
      </c>
      <c r="F581">
        <f>Definitions!G$10</f>
        <v>1.0201613296215051E-2</v>
      </c>
      <c r="G581">
        <f>Definitions!G$19</f>
        <v>5.75556680434896E-3</v>
      </c>
      <c r="H581">
        <f>Definitions!G$27</f>
        <v>6.266203655303857E-7</v>
      </c>
      <c r="I581" s="6">
        <f t="shared" si="90"/>
        <v>1.595780672092954E-2</v>
      </c>
      <c r="J581" s="1">
        <f t="shared" ca="1" si="95"/>
        <v>4.6027374327987882</v>
      </c>
      <c r="K581" s="1">
        <f t="shared" ca="1" si="94"/>
        <v>7.344959433979048E-2</v>
      </c>
    </row>
    <row r="582" spans="2:11" x14ac:dyDescent="0.25">
      <c r="D582" s="4" t="s">
        <v>34</v>
      </c>
      <c r="F582">
        <f>Definitions!G$10</f>
        <v>1.0201613296215051E-2</v>
      </c>
      <c r="G582">
        <f>Definitions!G$19</f>
        <v>5.75556680434896E-3</v>
      </c>
      <c r="H582">
        <f>Definitions!G$28</f>
        <v>5.3621547176475137E-9</v>
      </c>
      <c r="I582" s="6">
        <f t="shared" si="90"/>
        <v>1.5957185462718727E-2</v>
      </c>
      <c r="J582" s="1">
        <f t="shared" ca="1" si="95"/>
        <v>3.2729335661723846</v>
      </c>
      <c r="K582" s="1">
        <f t="shared" ca="1" si="94"/>
        <v>5.2226807922570138E-2</v>
      </c>
    </row>
    <row r="583" spans="2:11" x14ac:dyDescent="0.25">
      <c r="D583" s="4" t="s">
        <v>35</v>
      </c>
      <c r="F583">
        <f>Definitions!G$10</f>
        <v>1.0201613296215051E-2</v>
      </c>
      <c r="G583">
        <f>Definitions!G$19</f>
        <v>5.75556680434896E-3</v>
      </c>
      <c r="H583">
        <f>Definitions!G$29</f>
        <v>8.557262120117759E-3</v>
      </c>
      <c r="I583" s="6">
        <f t="shared" si="90"/>
        <v>2.4514442220681769E-2</v>
      </c>
      <c r="J583" s="1">
        <f t="shared" ca="1" si="95"/>
        <v>4.5651081790397789</v>
      </c>
      <c r="K583" s="1">
        <f t="shared" ca="1" si="94"/>
        <v>0.11191108068623243</v>
      </c>
    </row>
    <row r="584" spans="2:11" x14ac:dyDescent="0.25">
      <c r="D584" s="4" t="s">
        <v>36</v>
      </c>
      <c r="F584">
        <f>Definitions!G$10</f>
        <v>1.0201613296215051E-2</v>
      </c>
      <c r="G584">
        <f>Definitions!G$19</f>
        <v>5.75556680434896E-3</v>
      </c>
      <c r="H584">
        <f>Definitions!G$30</f>
        <v>7.3226734992402288E-5</v>
      </c>
      <c r="I584" s="6">
        <f t="shared" si="90"/>
        <v>1.6030406835556413E-2</v>
      </c>
      <c r="J584" s="1">
        <f t="shared" ca="1" si="95"/>
        <v>3.6822591273636971</v>
      </c>
      <c r="K584" s="1">
        <f t="shared" ca="1" si="94"/>
        <v>5.9028111885580999E-2</v>
      </c>
    </row>
    <row r="585" spans="2:11" x14ac:dyDescent="0.25">
      <c r="D585" s="4" t="s">
        <v>37</v>
      </c>
      <c r="F585">
        <f>Definitions!G$10</f>
        <v>1.0201613296215051E-2</v>
      </c>
      <c r="G585">
        <f>Definitions!G$19</f>
        <v>5.75556680434896E-3</v>
      </c>
      <c r="H585">
        <f>Definitions!G$31</f>
        <v>6.266203655303857E-7</v>
      </c>
      <c r="I585" s="6">
        <f t="shared" si="90"/>
        <v>1.595780672092954E-2</v>
      </c>
      <c r="J585" s="1">
        <f t="shared" ca="1" si="95"/>
        <v>2.3054262963454244</v>
      </c>
      <c r="K585" s="1">
        <f t="shared" ca="1" si="94"/>
        <v>3.678954724642871E-2</v>
      </c>
    </row>
    <row r="586" spans="2:11" x14ac:dyDescent="0.25">
      <c r="D586" s="4" t="s">
        <v>38</v>
      </c>
      <c r="F586">
        <f>Definitions!G$10</f>
        <v>1.0201613296215051E-2</v>
      </c>
      <c r="G586">
        <f>Definitions!G$19</f>
        <v>5.75556680434896E-3</v>
      </c>
      <c r="H586">
        <f>Definitions!G$32</f>
        <v>8.557262120117759E-3</v>
      </c>
      <c r="I586" s="6">
        <f t="shared" si="88"/>
        <v>2.4514442220681769E-2</v>
      </c>
      <c r="J586" s="1">
        <f t="shared" ca="1" si="95"/>
        <v>4.3212026214237156</v>
      </c>
      <c r="K586" s="1">
        <f t="shared" ca="1" si="94"/>
        <v>0.10593187198675028</v>
      </c>
    </row>
    <row r="587" spans="2:11" x14ac:dyDescent="0.25">
      <c r="D587" s="4" t="s">
        <v>39</v>
      </c>
      <c r="F587">
        <f>Definitions!G$10</f>
        <v>1.0201613296215051E-2</v>
      </c>
      <c r="G587">
        <f>Definitions!G$19</f>
        <v>5.75556680434896E-3</v>
      </c>
      <c r="H587">
        <f>Definitions!G$33</f>
        <v>7.3226734992402288E-5</v>
      </c>
      <c r="I587" s="6">
        <f t="shared" si="88"/>
        <v>1.6030406835556413E-2</v>
      </c>
      <c r="J587" s="1">
        <f t="shared" ca="1" si="95"/>
        <v>5.8581743214625064</v>
      </c>
      <c r="K587" s="1">
        <f t="shared" ca="1" si="94"/>
        <v>9.3908917686653617E-2</v>
      </c>
    </row>
    <row r="588" spans="2:11" x14ac:dyDescent="0.25">
      <c r="D588" s="4" t="s">
        <v>40</v>
      </c>
      <c r="F588">
        <f>Definitions!G$10</f>
        <v>1.0201613296215051E-2</v>
      </c>
      <c r="G588">
        <f>Definitions!G$19</f>
        <v>5.75556680434896E-3</v>
      </c>
      <c r="H588">
        <f>Definitions!G$34</f>
        <v>8.557262120117759E-3</v>
      </c>
      <c r="I588" s="6">
        <f t="shared" si="88"/>
        <v>2.4514442220681769E-2</v>
      </c>
      <c r="J588" s="1">
        <f t="shared" ca="1" si="95"/>
        <v>1.4649951664755236</v>
      </c>
      <c r="K588" s="1">
        <f t="shared" ca="1" si="94"/>
        <v>3.5913539362142297E-2</v>
      </c>
    </row>
    <row r="589" spans="2:11" x14ac:dyDescent="0.25">
      <c r="B589" s="4"/>
      <c r="C589" s="4" t="s">
        <v>31</v>
      </c>
      <c r="D589" s="4" t="s">
        <v>19</v>
      </c>
      <c r="F589">
        <f>Definitions!G$10</f>
        <v>1.0201613296215051E-2</v>
      </c>
      <c r="G589">
        <f>Definitions!G$19</f>
        <v>5.75556680434896E-3</v>
      </c>
      <c r="I589" s="6">
        <f t="shared" ref="I589" si="97">IF(1-(SUM(I590:I599))&lt;0,0,1-(SUM(I590:I599)))</f>
        <v>0.47291466526400194</v>
      </c>
      <c r="J589" s="1">
        <f t="shared" ca="1" si="95"/>
        <v>7.4044217551296887</v>
      </c>
      <c r="K589" s="1">
        <f t="shared" ca="1" si="94"/>
        <v>3.5016596358006504</v>
      </c>
    </row>
    <row r="590" spans="2:11" x14ac:dyDescent="0.25">
      <c r="D590" s="4" t="s">
        <v>32</v>
      </c>
      <c r="F590">
        <f>Definitions!G$10</f>
        <v>1.0201613296215051E-2</v>
      </c>
      <c r="G590">
        <f>Definitions!G$20</f>
        <v>3.9061921448551362E-2</v>
      </c>
      <c r="H590">
        <f>Definitions!G$25</f>
        <v>8.557262120117759E-3</v>
      </c>
      <c r="I590" s="6">
        <f t="shared" si="90"/>
        <v>5.7820796864884172E-2</v>
      </c>
      <c r="J590" s="1">
        <f t="shared" ca="1" si="95"/>
        <v>3.0961757158088403</v>
      </c>
      <c r="K590" s="1">
        <f t="shared" ca="1" si="94"/>
        <v>0.17902334712177029</v>
      </c>
    </row>
    <row r="591" spans="2:11" x14ac:dyDescent="0.25">
      <c r="D591" s="4" t="s">
        <v>25</v>
      </c>
      <c r="F591">
        <f>Definitions!G$10</f>
        <v>1.0201613296215051E-2</v>
      </c>
      <c r="G591">
        <f>Definitions!G$20</f>
        <v>3.9061921448551362E-2</v>
      </c>
      <c r="H591">
        <f>Definitions!G$26</f>
        <v>7.3226734992402288E-5</v>
      </c>
      <c r="I591" s="6">
        <f t="shared" si="90"/>
        <v>4.9336761479758816E-2</v>
      </c>
      <c r="J591" s="1">
        <f t="shared" ca="1" si="95"/>
        <v>5.2097171243672289</v>
      </c>
      <c r="K591" s="1">
        <f t="shared" ca="1" si="94"/>
        <v>0.25703057114192096</v>
      </c>
    </row>
    <row r="592" spans="2:11" x14ac:dyDescent="0.25">
      <c r="D592" s="4" t="s">
        <v>33</v>
      </c>
      <c r="F592">
        <f>Definitions!G$10</f>
        <v>1.0201613296215051E-2</v>
      </c>
      <c r="G592">
        <f>Definitions!G$20</f>
        <v>3.9061921448551362E-2</v>
      </c>
      <c r="H592">
        <f>Definitions!G$27</f>
        <v>6.266203655303857E-7</v>
      </c>
      <c r="I592" s="6">
        <f t="shared" si="90"/>
        <v>4.9264161365131946E-2</v>
      </c>
      <c r="J592" s="1">
        <f t="shared" ca="1" si="95"/>
        <v>2.1429314489032083</v>
      </c>
      <c r="K592" s="1">
        <f t="shared" ca="1" si="94"/>
        <v>0.10556972069318366</v>
      </c>
    </row>
    <row r="593" spans="4:11" x14ac:dyDescent="0.25">
      <c r="D593" s="4" t="s">
        <v>34</v>
      </c>
      <c r="F593">
        <f>Definitions!G$10</f>
        <v>1.0201613296215051E-2</v>
      </c>
      <c r="G593">
        <f>Definitions!G$20</f>
        <v>3.9061921448551362E-2</v>
      </c>
      <c r="H593">
        <f>Definitions!G$28</f>
        <v>5.3621547176475137E-9</v>
      </c>
      <c r="I593" s="6">
        <f t="shared" si="90"/>
        <v>4.9263540106921133E-2</v>
      </c>
      <c r="J593" s="1">
        <f t="shared" ca="1" si="95"/>
        <v>4.4318543137883246</v>
      </c>
      <c r="K593" s="1">
        <f t="shared" ca="1" si="94"/>
        <v>0.21832883273534257</v>
      </c>
    </row>
    <row r="594" spans="4:11" x14ac:dyDescent="0.25">
      <c r="D594" s="4" t="s">
        <v>35</v>
      </c>
      <c r="F594">
        <f>Definitions!G$10</f>
        <v>1.0201613296215051E-2</v>
      </c>
      <c r="G594">
        <f>Definitions!G$20</f>
        <v>3.9061921448551362E-2</v>
      </c>
      <c r="H594">
        <f>Definitions!G$29</f>
        <v>8.557262120117759E-3</v>
      </c>
      <c r="I594" s="6">
        <f t="shared" si="90"/>
        <v>5.7820796864884172E-2</v>
      </c>
      <c r="J594" s="1">
        <f t="shared" ca="1" si="95"/>
        <v>4.5027807758278708</v>
      </c>
      <c r="K594" s="1">
        <f t="shared" ca="1" si="94"/>
        <v>0.26035437256624888</v>
      </c>
    </row>
    <row r="595" spans="4:11" x14ac:dyDescent="0.25">
      <c r="D595" s="4" t="s">
        <v>36</v>
      </c>
      <c r="F595">
        <f>Definitions!G$10</f>
        <v>1.0201613296215051E-2</v>
      </c>
      <c r="G595">
        <f>Definitions!G$20</f>
        <v>3.9061921448551362E-2</v>
      </c>
      <c r="H595">
        <f>Definitions!G$30</f>
        <v>7.3226734992402288E-5</v>
      </c>
      <c r="I595" s="6">
        <f t="shared" si="90"/>
        <v>4.9336761479758816E-2</v>
      </c>
      <c r="J595" s="1">
        <f t="shared" ca="1" si="95"/>
        <v>8.3974221361257868</v>
      </c>
      <c r="K595" s="1">
        <f t="shared" ca="1" si="94"/>
        <v>0.41430161297488471</v>
      </c>
    </row>
    <row r="596" spans="4:11" x14ac:dyDescent="0.25">
      <c r="D596" s="4" t="s">
        <v>37</v>
      </c>
      <c r="F596">
        <f>Definitions!G$10</f>
        <v>1.0201613296215051E-2</v>
      </c>
      <c r="G596">
        <f>Definitions!G$20</f>
        <v>3.9061921448551362E-2</v>
      </c>
      <c r="H596">
        <f>Definitions!G$31</f>
        <v>6.266203655303857E-7</v>
      </c>
      <c r="I596" s="6">
        <f t="shared" si="90"/>
        <v>4.9264161365131946E-2</v>
      </c>
      <c r="J596" s="1">
        <f t="shared" ca="1" si="95"/>
        <v>4.972336261212198</v>
      </c>
      <c r="K596" s="1">
        <f t="shared" ca="1" si="94"/>
        <v>0.24495797593405461</v>
      </c>
    </row>
    <row r="597" spans="4:11" x14ac:dyDescent="0.25">
      <c r="D597" s="4" t="s">
        <v>38</v>
      </c>
      <c r="F597">
        <f>Definitions!G$10</f>
        <v>1.0201613296215051E-2</v>
      </c>
      <c r="G597">
        <f>Definitions!G$20</f>
        <v>3.9061921448551362E-2</v>
      </c>
      <c r="H597">
        <f>Definitions!G$32</f>
        <v>8.557262120117759E-3</v>
      </c>
      <c r="I597" s="6">
        <f t="shared" si="90"/>
        <v>5.7820796864884172E-2</v>
      </c>
      <c r="J597" s="1">
        <f t="shared" ca="1" si="95"/>
        <v>4.0010629919940994</v>
      </c>
      <c r="K597" s="1">
        <f t="shared" ca="1" si="94"/>
        <v>0.23134465050369651</v>
      </c>
    </row>
    <row r="598" spans="4:11" x14ac:dyDescent="0.25">
      <c r="D598" s="4" t="s">
        <v>39</v>
      </c>
      <c r="F598">
        <f>Definitions!G$10</f>
        <v>1.0201613296215051E-2</v>
      </c>
      <c r="G598">
        <f>Definitions!G$20</f>
        <v>3.9061921448551362E-2</v>
      </c>
      <c r="H598">
        <f>Definitions!G$33</f>
        <v>7.3226734992402288E-5</v>
      </c>
      <c r="I598" s="6">
        <f t="shared" si="90"/>
        <v>4.9336761479758816E-2</v>
      </c>
      <c r="J598" s="1">
        <f t="shared" ca="1" si="95"/>
        <v>3.6198315033264845</v>
      </c>
      <c r="K598" s="1">
        <f t="shared" ca="1" si="94"/>
        <v>0.17859076347653555</v>
      </c>
    </row>
    <row r="599" spans="4:11" x14ac:dyDescent="0.25">
      <c r="D599" s="4" t="s">
        <v>40</v>
      </c>
      <c r="F599">
        <f>Definitions!G$10</f>
        <v>1.0201613296215051E-2</v>
      </c>
      <c r="G599">
        <f>Definitions!G$20</f>
        <v>3.9061921448551362E-2</v>
      </c>
      <c r="H599">
        <f>Definitions!G$34</f>
        <v>8.557262120117759E-3</v>
      </c>
      <c r="I599" s="6">
        <f t="shared" ref="I599" si="98">SUM(F599+G599+H599)</f>
        <v>5.7820796864884172E-2</v>
      </c>
      <c r="J599" s="1">
        <f t="shared" ca="1" si="95"/>
        <v>4.6239861838708762</v>
      </c>
      <c r="K599" s="1">
        <f t="shared" ca="1" si="94"/>
        <v>0.26736256584362889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Definitions</vt:lpstr>
      <vt:lpstr>simul_1a_1b_2a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Pierre-Yves</dc:creator>
  <cp:lastModifiedBy>Pierre-Yves</cp:lastModifiedBy>
  <dcterms:created xsi:type="dcterms:W3CDTF">2026-06-25T11:33:05Z</dcterms:created>
  <dcterms:modified xsi:type="dcterms:W3CDTF">2026-06-26T11:40:38Z</dcterms:modified>
</cp:coreProperties>
</file>